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ICT\Segment Architecture\Property Lease Management\DPRE\SDS\"/>
    </mc:Choice>
  </mc:AlternateContent>
  <xr:revisionPtr revIDLastSave="0" documentId="13_ncr:1_{9766910A-EB9D-4C4D-95AA-BDDC61F78293}" xr6:coauthVersionLast="47" xr6:coauthVersionMax="47" xr10:uidLastSave="{00000000-0000-0000-0000-000000000000}"/>
  <bookViews>
    <workbookView xWindow="-108" yWindow="-108" windowWidth="23256" windowHeight="12456" activeTab="1" xr2:uid="{512C0284-F271-4752-9900-5E6CA0A08E71}"/>
  </bookViews>
  <sheets>
    <sheet name="Tariff Rates" sheetId="3" r:id="rId1"/>
    <sheet name="Facilities Rentals" sheetId="2" r:id="rId2"/>
    <sheet name="Pre-Qual Docs" sheetId="6" r:id="rId3"/>
    <sheet name="Pre-Qual Evaluation" sheetId="5" r:id="rId4"/>
    <sheet name="Checklists" sheetId="7" r:id="rId5"/>
  </sheets>
  <definedNames>
    <definedName name="_Hlk93511350" localSheetId="3">'Pre-Qual Evaluation'!$B$2</definedName>
    <definedName name="_Hlk93512026" localSheetId="3">'Pre-Qual Evaluation'!$B$48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</calcChain>
</file>

<file path=xl/sharedStrings.xml><?xml version="1.0" encoding="utf-8"?>
<sst xmlns="http://schemas.openxmlformats.org/spreadsheetml/2006/main" count="606" uniqueCount="308">
  <si>
    <t>NAME OF FACILITY</t>
  </si>
  <si>
    <t>Fannie Malape Co-operatives Industrial Hive Centre</t>
  </si>
  <si>
    <t>Tsakane Business Park</t>
  </si>
  <si>
    <t>Springs Traders Market</t>
  </si>
  <si>
    <t>Oscar Mabika Co-operatives Industrial Hive Centre</t>
  </si>
  <si>
    <t>Barcelona Traders Market</t>
  </si>
  <si>
    <t>Etwatwa Unserviced Portions</t>
  </si>
  <si>
    <t>Bomba Sibiya Co-ops Industrial Hive Centre</t>
  </si>
  <si>
    <t>Tembisa Business Park</t>
  </si>
  <si>
    <t>Motsu Buy Back Centre</t>
  </si>
  <si>
    <t>Sethokga Buy Back Centre,</t>
  </si>
  <si>
    <t>Sethokga Traders Market</t>
  </si>
  <si>
    <t>Sedibeng Hive Centre</t>
  </si>
  <si>
    <t>TYPE OF UNIT</t>
  </si>
  <si>
    <t>Township Industrial Parks</t>
  </si>
  <si>
    <t>Township Business Hubs &amp; Skills Centre</t>
  </si>
  <si>
    <t>MAX NUMBER OF UNITS</t>
  </si>
  <si>
    <t>Offices</t>
  </si>
  <si>
    <t>Kiosk</t>
  </si>
  <si>
    <t>KwaThema Business Park (Block A)</t>
  </si>
  <si>
    <t>KwaThema Business Park (Block B)</t>
  </si>
  <si>
    <t>Small Shop</t>
  </si>
  <si>
    <t xml:space="preserve">Brakpan Civic Centre Kiosk </t>
  </si>
  <si>
    <t>CUSTOMER CARE AREA</t>
  </si>
  <si>
    <t>Tokoza</t>
  </si>
  <si>
    <t>Tsakane</t>
  </si>
  <si>
    <t>Springs</t>
  </si>
  <si>
    <t>Brakpan</t>
  </si>
  <si>
    <t>Kwa - Thema</t>
  </si>
  <si>
    <t>Indoor Unit</t>
  </si>
  <si>
    <t>Outdoor Roof Covered Units</t>
  </si>
  <si>
    <t>Boardroom</t>
  </si>
  <si>
    <t>Etwatwa</t>
  </si>
  <si>
    <t>Admin Block with Boardroom</t>
  </si>
  <si>
    <t>Incubation Farms and/or Agri-parks</t>
  </si>
  <si>
    <t>Workshop</t>
  </si>
  <si>
    <t>Township Automotive Hubs.</t>
  </si>
  <si>
    <t xml:space="preserve">FabLab Facilities </t>
  </si>
  <si>
    <t>Rroof Covered Sorting Area</t>
  </si>
  <si>
    <t>Open Stalls</t>
  </si>
  <si>
    <t>Lockable Stalls</t>
  </si>
  <si>
    <t>Kitchen</t>
  </si>
  <si>
    <t>Canteen</t>
  </si>
  <si>
    <t>Thembisa</t>
  </si>
  <si>
    <t>Daveyton</t>
  </si>
  <si>
    <t>FACILITY TYPE/CATEGORY/GRADE</t>
  </si>
  <si>
    <t>No.</t>
  </si>
  <si>
    <t>1.</t>
  </si>
  <si>
    <t>R57.00</t>
  </si>
  <si>
    <t>2.</t>
  </si>
  <si>
    <t>3.</t>
  </si>
  <si>
    <t>R67.00</t>
  </si>
  <si>
    <t>4.</t>
  </si>
  <si>
    <t>R36.00</t>
  </si>
  <si>
    <t>5.</t>
  </si>
  <si>
    <t>R0.70</t>
  </si>
  <si>
    <t>2025/2026 TARIFFS (per square meter VAT inclusive)</t>
  </si>
  <si>
    <t>FACILITY TYPE/GRADE</t>
  </si>
  <si>
    <t>MONTHLY RENTAL AMOUNT PER UNIT</t>
  </si>
  <si>
    <t>UNIT SIZE (SQUARE METRE)</t>
  </si>
  <si>
    <t>TARIFF PER SQUARE METRE</t>
  </si>
  <si>
    <t>PHYSICAL ADDRESS</t>
  </si>
  <si>
    <t>Erf 1 Xubeni &amp; 1/130 Sethokga</t>
  </si>
  <si>
    <t>Nigel</t>
  </si>
  <si>
    <t>Natalspruit Hospital Market</t>
  </si>
  <si>
    <t>On Hospital Road Katlehong and Khumalo Road Thokoza</t>
  </si>
  <si>
    <t>Daveyton Square</t>
  </si>
  <si>
    <t>Daveyton CBD at Esselen Road</t>
  </si>
  <si>
    <t>Phomolong Market</t>
  </si>
  <si>
    <t>Cambridge Centre in Phomolong</t>
  </si>
  <si>
    <t>Leralla Market</t>
  </si>
  <si>
    <t>Opposite Tembisa Plaza and Sam Hlalele Community Hall</t>
  </si>
  <si>
    <t>Ibaxa Market</t>
  </si>
  <si>
    <t>Opposite Nyiko Primary School, Tembisa</t>
  </si>
  <si>
    <t>Opposite Vosloorus CRM Offices</t>
  </si>
  <si>
    <t>Opposite Phola Park Taxi Rank, Khumalo Street</t>
  </si>
  <si>
    <t>Majola Taxi Rank</t>
  </si>
  <si>
    <t>Tsakane Stalls</t>
  </si>
  <si>
    <t>Next to Tsakane Mall</t>
  </si>
  <si>
    <t>Next to Barcelona Clinic</t>
  </si>
  <si>
    <t>Informal Trading Facilities</t>
  </si>
  <si>
    <t>Kempton Park</t>
  </si>
  <si>
    <t>New Taxi Rank</t>
  </si>
  <si>
    <t>Station Taxi Rank</t>
  </si>
  <si>
    <t>Katlehong 2</t>
  </si>
  <si>
    <t>Palm Ridge Taxi Rank</t>
  </si>
  <si>
    <t>Boksburg</t>
  </si>
  <si>
    <t>Ramaphosa Taxi Rank</t>
  </si>
  <si>
    <t>Taxi Rank Trading Facilities</t>
  </si>
  <si>
    <t>Stand 3521 corner Moepshe &amp; Mokoena Str, Tokoza (between Thokoza CCC &amp; Dresser Clinic).</t>
  </si>
  <si>
    <t>Bhelekazi Fulathela Co-operatives’ Hive Centre</t>
  </si>
  <si>
    <t>Stand no 2 Moseleki East, Katlehong (adjacent to power station towards the Chris Hani Mall)</t>
  </si>
  <si>
    <t>Stand 31021 corners Marolen &amp; Alliance Rd, Daveyton (opposite Majuten &amp; Isidingo TVET)</t>
  </si>
  <si>
    <t>Stand 1773 Ext 5, Nkankani Str, Motsu Section, Tembisa</t>
  </si>
  <si>
    <t>Mbiza Street, Sethokga Hostel, Tembisa (next to Oakmore train Station)</t>
  </si>
  <si>
    <t>Etwatwa Industrial Hive Centre</t>
  </si>
  <si>
    <t>Portion 5 &amp; 6 of erf 27155 Ext 9, Bee –Eater Street, Etwatwa (between Stompie Skosana hall &amp; Harry Gwala School)</t>
  </si>
  <si>
    <t>Erf 871 Thami Mnyele West Dr, Mqantsa Section, Tembisa (next to Tembisa Station</t>
  </si>
  <si>
    <t>Erf 688 Tuda Crescent, Sedibeng Section Tembisa</t>
  </si>
  <si>
    <t>Stand 7522 Hlakwana Street, Tsakane</t>
  </si>
  <si>
    <t>Corner Thabahadi &amp; Rhokana Road, Extension 3, KwaThema</t>
  </si>
  <si>
    <t xml:space="preserve">Erf 842 Thami Mnyele West Drive, Mqantsa Section, Tembisa (next to Tembisa train Station) </t>
  </si>
  <si>
    <t>Erf 3266 corner Elliot Road &amp; Escombe Avenue, Brakpan.</t>
  </si>
  <si>
    <t>Reiger Park Enterprise Hub</t>
  </si>
  <si>
    <t>Erf 477, LEON FERREIRA DRIVE, REIGER PARK EXT. 1, BOKSBURG</t>
  </si>
  <si>
    <t>Township Business Hubs</t>
  </si>
  <si>
    <t>Vosloorus Skills Centre</t>
  </si>
  <si>
    <t xml:space="preserve">ERF 20912 and 20913 Vosloorus Extension 28  </t>
  </si>
  <si>
    <t xml:space="preserve">3519 Moepshe Street </t>
  </si>
  <si>
    <t>The lab is situated at and forms part of the Thokoza Industrial Hive.</t>
  </si>
  <si>
    <t>42 Thami Mnyele Drive Tembisa.</t>
  </si>
  <si>
    <t>The Lab is situated at and forms part of the Tembisa Business Park.</t>
  </si>
  <si>
    <t>7523 Tlou Street, Tsakane</t>
  </si>
  <si>
    <t>The lab is situated at and forms part of the Tsakane Business Park</t>
  </si>
  <si>
    <t>Duduza</t>
  </si>
  <si>
    <t>2 Nala Street, Duduza</t>
  </si>
  <si>
    <t>The facility is within and forms part of the Duduza Resource center.</t>
  </si>
  <si>
    <t>Vosloorus</t>
  </si>
  <si>
    <t xml:space="preserve">Cnr Mnolo and Venus Road, Ext 28 Vosloorus </t>
  </si>
  <si>
    <t>The facility is within and forms part of the Ekurhuleni skills center building.</t>
  </si>
  <si>
    <t>FabLab Facilities</t>
  </si>
  <si>
    <t>Essellen Park Incubation Farm</t>
  </si>
  <si>
    <t>Tembisa</t>
  </si>
  <si>
    <t>Spaarwater Incubation Farm</t>
  </si>
  <si>
    <t>Incubation Farms and/or Agri-Parks</t>
  </si>
  <si>
    <t xml:space="preserve">FUNCTIONALITY AND CAPABILITY </t>
  </si>
  <si>
    <t xml:space="preserve">Max Points </t>
  </si>
  <si>
    <t xml:space="preserve">FUNCTIONAL CRITERIA </t>
  </si>
  <si>
    <t xml:space="preserve">SUB-CRITERIA </t>
  </si>
  <si>
    <t xml:space="preserve"> </t>
  </si>
  <si>
    <t xml:space="preserve">Track Record/ Experience  </t>
  </si>
  <si>
    <t xml:space="preserve">Demonstration of Experience &amp; Implementation Capacity: </t>
  </si>
  <si>
    <r>
      <t>·</t>
    </r>
    <r>
      <rPr>
        <sz val="7"/>
        <color theme="1"/>
        <rFont val="Times New Roman"/>
        <family val="1"/>
      </rPr>
      <t xml:space="preserve">                  </t>
    </r>
    <r>
      <rPr>
        <sz val="11"/>
        <color theme="1"/>
        <rFont val="Arial"/>
        <family val="2"/>
      </rPr>
      <t>11 years and more (15 points)</t>
    </r>
  </si>
  <si>
    <r>
      <t>·</t>
    </r>
    <r>
      <rPr>
        <sz val="7"/>
        <color theme="1"/>
        <rFont val="Times New Roman"/>
        <family val="1"/>
      </rPr>
      <t xml:space="preserve">                  </t>
    </r>
    <r>
      <rPr>
        <sz val="11"/>
        <color theme="1"/>
        <rFont val="Arial"/>
        <family val="2"/>
      </rPr>
      <t xml:space="preserve">6 to 10 years or more (13 Points) </t>
    </r>
  </si>
  <si>
    <r>
      <t>·</t>
    </r>
    <r>
      <rPr>
        <sz val="7"/>
        <color theme="1"/>
        <rFont val="Times New Roman"/>
        <family val="1"/>
      </rPr>
      <t xml:space="preserve">                  </t>
    </r>
    <r>
      <rPr>
        <sz val="11"/>
        <color theme="1"/>
        <rFont val="Arial"/>
        <family val="2"/>
      </rPr>
      <t>3 to 5 years (5 Points)</t>
    </r>
  </si>
  <si>
    <r>
      <t>·</t>
    </r>
    <r>
      <rPr>
        <sz val="7"/>
        <color theme="1"/>
        <rFont val="Times New Roman"/>
        <family val="1"/>
      </rPr>
      <t xml:space="preserve">                  </t>
    </r>
    <r>
      <rPr>
        <sz val="11"/>
        <color theme="1"/>
        <rFont val="Arial"/>
        <family val="2"/>
      </rPr>
      <t>No Submission (0 point)</t>
    </r>
  </si>
  <si>
    <r>
      <t xml:space="preserve">Evidence Required: </t>
    </r>
    <r>
      <rPr>
        <sz val="11"/>
        <color theme="1"/>
        <rFont val="Arial"/>
        <family val="2"/>
      </rPr>
      <t>applicants to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submit 3 years most recent Audited Financial Statement or management accounts; 3 testimonial letters from traceable references - a person(s), suppliers, clients, ward councilor, etc. and Affidavit.</t>
    </r>
    <r>
      <rPr>
        <i/>
        <sz val="11"/>
        <color theme="1"/>
        <rFont val="Arial"/>
        <family val="2"/>
      </rPr>
      <t xml:space="preserve">  </t>
    </r>
  </si>
  <si>
    <t>Financial Stability</t>
  </si>
  <si>
    <t>Demonstration of Financial Commitment: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</si>
  <si>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R1,500,000+ (20 points)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</si>
  <si>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R1,000,000+ (15 points)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</si>
  <si>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R750,000+ (12 points)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</si>
  <si>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R500,000+ (10 points)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</si>
  <si>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rial"/>
        <family val="2"/>
      </rPr>
      <t>Less than or No funding (0 point)</t>
    </r>
  </si>
  <si>
    <r>
      <t>Evidence Required</t>
    </r>
    <r>
      <rPr>
        <sz val="11"/>
        <color theme="1"/>
        <rFont val="Arial"/>
        <family val="2"/>
      </rPr>
      <t>: Applicants to attach official bank statements or letter of intent or bank guarantee from a registered financial institution.</t>
    </r>
  </si>
  <si>
    <t>Business Case</t>
  </si>
  <si>
    <r>
      <t>Demonstration of Strategic Capabilities</t>
    </r>
    <r>
      <rPr>
        <sz val="11"/>
        <color theme="1"/>
        <rFont val="Arial"/>
        <family val="2"/>
      </rPr>
      <t>:</t>
    </r>
  </si>
  <si>
    <t>Business Case (15 Points)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</si>
  <si>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Strategic Plan (implementation plan) = 10 Points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</si>
  <si>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Sector Analysis= 5 Points</t>
    </r>
  </si>
  <si>
    <t xml:space="preserve">Financial Model (10 Points)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</si>
  <si>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Funding Mix = 5 Points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</si>
  <si>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Projected Revenues = 5 Points</t>
    </r>
  </si>
  <si>
    <t>Marketing Plan (20 Points)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</si>
  <si>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Marketing Methods = 10 Points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</si>
  <si>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Strategic Parhtnerships = 10 Points</t>
    </r>
  </si>
  <si>
    <t>Operations Plan (10 Points)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</si>
  <si>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Enterprise Development activities to be Undertaken = 5 Points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</si>
  <si>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How the Facility will be Managed = 5 Points </t>
    </r>
  </si>
  <si>
    <t xml:space="preserve">4. </t>
  </si>
  <si>
    <t xml:space="preserve">Staffing and </t>
  </si>
  <si>
    <t xml:space="preserve">Management </t>
  </si>
  <si>
    <t xml:space="preserve">Experience </t>
  </si>
  <si>
    <r>
      <t>Enterprise Development or property management Experience</t>
    </r>
    <r>
      <rPr>
        <sz val="11"/>
        <color theme="1"/>
        <rFont val="Arial"/>
        <family val="2"/>
      </rPr>
      <t xml:space="preserve">: </t>
    </r>
  </si>
  <si>
    <r>
      <t>·</t>
    </r>
    <r>
      <rPr>
        <sz val="7"/>
        <color theme="1"/>
        <rFont val="Times New Roman"/>
        <family val="1"/>
      </rPr>
      <t xml:space="preserve">                  </t>
    </r>
    <r>
      <rPr>
        <sz val="11"/>
        <color theme="1"/>
        <rFont val="Arial"/>
        <family val="2"/>
      </rPr>
      <t>11 years and more (20 points)</t>
    </r>
  </si>
  <si>
    <r>
      <t>·</t>
    </r>
    <r>
      <rPr>
        <sz val="7"/>
        <color theme="1"/>
        <rFont val="Times New Roman"/>
        <family val="1"/>
      </rPr>
      <t xml:space="preserve">                  </t>
    </r>
    <r>
      <rPr>
        <sz val="11"/>
        <color theme="1"/>
        <rFont val="Arial"/>
        <family val="2"/>
      </rPr>
      <t>6-10 years (17 Points)</t>
    </r>
  </si>
  <si>
    <r>
      <t>·</t>
    </r>
    <r>
      <rPr>
        <sz val="7"/>
        <color theme="1"/>
        <rFont val="Times New Roman"/>
        <family val="1"/>
      </rPr>
      <t xml:space="preserve">                  </t>
    </r>
    <r>
      <rPr>
        <sz val="11"/>
        <color theme="1"/>
        <rFont val="Arial"/>
        <family val="2"/>
      </rPr>
      <t xml:space="preserve">3-5 years (12 Points) </t>
    </r>
  </si>
  <si>
    <r>
      <t>·</t>
    </r>
    <r>
      <rPr>
        <sz val="7"/>
        <color theme="1"/>
        <rFont val="Times New Roman"/>
        <family val="1"/>
      </rPr>
      <t xml:space="preserve">                  </t>
    </r>
    <r>
      <rPr>
        <sz val="11"/>
        <color theme="1"/>
        <rFont val="Arial"/>
        <family val="2"/>
      </rPr>
      <t>No Submission (0 points)</t>
    </r>
  </si>
  <si>
    <r>
      <t xml:space="preserve">Evidence Required: </t>
    </r>
    <r>
      <rPr>
        <sz val="11"/>
        <color theme="1"/>
        <rFont val="Arial"/>
        <family val="2"/>
      </rPr>
      <t>Applicants to submit CVs with 3 traceable references - a person(s), suppliers, clients, ward councillors, etc.), and Affidavit.</t>
    </r>
  </si>
  <si>
    <t xml:space="preserve">5. </t>
  </si>
  <si>
    <t xml:space="preserve">Community </t>
  </si>
  <si>
    <t xml:space="preserve">Empowerment Plan </t>
  </si>
  <si>
    <t xml:space="preserve">Empowerment of Local People: 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</si>
  <si>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Applicants must demonstrate the commitment to employ 5-10 (10 points)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</si>
  <si>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>Applicants must demonstrate the commitment to employ 3-5 (8 points).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</si>
  <si>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Applicants must demonstrate the commitment to employ 1-2 (5 points). </t>
    </r>
  </si>
  <si>
    <r>
      <t xml:space="preserve">Evidence Required: </t>
    </r>
    <r>
      <rPr>
        <sz val="11"/>
        <color theme="1"/>
        <rFont val="Arial"/>
        <family val="2"/>
      </rPr>
      <t>Applicants to submit a gender, youth &amp; people with disability plan.</t>
    </r>
  </si>
  <si>
    <t>6.5</t>
  </si>
  <si>
    <t xml:space="preserve">6. </t>
  </si>
  <si>
    <t>Business location of the Strategic Partner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</si>
  <si>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Within the City of Ekurhuleni (10 points).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</si>
  <si>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Within Gauteng (8 points).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</si>
  <si>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Outside of Gauteng (6 points) </t>
    </r>
  </si>
  <si>
    <r>
      <t>Evidence Required:</t>
    </r>
    <r>
      <rPr>
        <sz val="11"/>
        <color theme="1"/>
        <rFont val="Arial"/>
        <family val="2"/>
      </rPr>
      <t xml:space="preserve"> Applicants should provide proof of location in the form of a city’s utility or rates and taxes statement.</t>
    </r>
  </si>
  <si>
    <t xml:space="preserve">Total </t>
  </si>
  <si>
    <t xml:space="preserve">Adjudication Conditions: </t>
  </si>
  <si>
    <r>
      <t>(i)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Applicant who scores below the minimum in any of the above indicators will be disqualified and will not be evaluated any further.</t>
    </r>
  </si>
  <si>
    <r>
      <t>(ii)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applicant whose overall score is a total of less than 80 will be disqualified and will not be evaluated any further.</t>
    </r>
  </si>
  <si>
    <r>
      <t>(iii)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All applicants are required to score an average of 80 of 100 against the qualifying criteria to      move to the next level of adjudication.</t>
    </r>
  </si>
  <si>
    <r>
      <t>(i)</t>
    </r>
    <r>
      <rPr>
        <sz val="7"/>
        <color rgb="FF000000"/>
        <rFont val="Times New Roman"/>
        <family val="1"/>
      </rPr>
      <t xml:space="preserve">          </t>
    </r>
    <r>
      <rPr>
        <sz val="12"/>
        <color theme="1"/>
        <rFont val="Arial"/>
        <family val="2"/>
      </rPr>
      <t>A comprehensive Business Plan – Copy of Business Plan as per the sub-criteria indicated in section 5.</t>
    </r>
  </si>
  <si>
    <r>
      <t>(ii)</t>
    </r>
    <r>
      <rPr>
        <sz val="7"/>
        <color rgb="FF000000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Company Profile.</t>
    </r>
  </si>
  <si>
    <r>
      <t>(iii)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Company registration documents – Applicants to submit valid Tax Clearance, BBEE Certificate or Affidavit, company certificate.</t>
    </r>
  </si>
  <si>
    <r>
      <t>(iv)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Declaration of Interest (Form MBD 4).</t>
    </r>
  </si>
  <si>
    <r>
      <t>(v)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Proof of Central Suppliers Database Registration.</t>
    </r>
  </si>
  <si>
    <r>
      <t>(vi)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3 years audited financial statements and/or management accounts.</t>
    </r>
  </si>
  <si>
    <r>
      <t>(vii)</t>
    </r>
    <r>
      <rPr>
        <sz val="7"/>
        <color rgb="FF000000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Proof of Business Location.</t>
    </r>
  </si>
  <si>
    <r>
      <t>(viii)</t>
    </r>
    <r>
      <rPr>
        <sz val="7"/>
        <color rgb="FF000000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Certified copy of identity document (Not more than 6 months old).</t>
    </r>
  </si>
  <si>
    <r>
      <t>(ix)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A description of Facilities Management experience and/or accreditation.</t>
    </r>
  </si>
  <si>
    <r>
      <t>(x)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Letter of funding showing ability to provide necessary financing.</t>
    </r>
  </si>
  <si>
    <r>
      <t>(xi)</t>
    </r>
    <r>
      <rPr>
        <sz val="7"/>
        <color rgb="FF000000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Letters of strategic partnerships and alliances and</t>
    </r>
  </si>
  <si>
    <r>
      <t>(xii)</t>
    </r>
    <r>
      <rPr>
        <sz val="7"/>
        <color rgb="FF000000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Ownership structure, management experience and the number of jobs to be created, empowerment plan and social benefit.</t>
    </r>
  </si>
  <si>
    <t>Pre-qualifying documents</t>
  </si>
  <si>
    <t>Compliance Document</t>
  </si>
  <si>
    <t>Attached</t>
  </si>
  <si>
    <t>Not attached</t>
  </si>
  <si>
    <t xml:space="preserve">Application form </t>
  </si>
  <si>
    <t xml:space="preserve">Company Reg Doc </t>
  </si>
  <si>
    <t xml:space="preserve">Directors Certified ID copies </t>
  </si>
  <si>
    <t xml:space="preserve">BEE Certificate/affidavit </t>
  </si>
  <si>
    <t xml:space="preserve">Company Profile </t>
  </si>
  <si>
    <t xml:space="preserve">Business Proposal </t>
  </si>
  <si>
    <t xml:space="preserve">Valid Tax Clearance Certificate </t>
  </si>
  <si>
    <t>Bank account confirmation letter</t>
  </si>
  <si>
    <t xml:space="preserve">Latest CSD report </t>
  </si>
  <si>
    <t>Latest rates &amp; taxes statement or lease agreement (municipal account)</t>
  </si>
  <si>
    <t xml:space="preserve">Proof of accreditation with relevant body </t>
  </si>
  <si>
    <t>Declined or not Declined (tick appropriate)</t>
  </si>
  <si>
    <t>Yes:</t>
  </si>
  <si>
    <t>No:</t>
  </si>
  <si>
    <t>Application screened by (name):</t>
  </si>
  <si>
    <t>Date of screening (date):</t>
  </si>
  <si>
    <t xml:space="preserve">Signature:  </t>
  </si>
  <si>
    <t>Screening Committee</t>
  </si>
  <si>
    <t>Evaluation Committee</t>
  </si>
  <si>
    <t>EVALUATION CRITERIA</t>
  </si>
  <si>
    <t>POINT ALLOCATION</t>
  </si>
  <si>
    <t>POINTS</t>
  </si>
  <si>
    <t xml:space="preserve">Business Sustainability Plan </t>
  </si>
  <si>
    <t>Demonstrate how will the project assist the municipality to create jobs /facilitate economic development.</t>
  </si>
  <si>
    <t>Strongly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</si>
  <si>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 xml:space="preserve">Able to create more than 15 jobs = 50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</si>
  <si>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 xml:space="preserve">Able to create 10 -14 jobs = 40 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</si>
  <si>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Able to create 5 -13 jobs = 30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</si>
  <si>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Abel to create 2-12 jobs = 20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</si>
  <si>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 xml:space="preserve">Able to create 0-1 job= 10 </t>
    </r>
  </si>
  <si>
    <t>Business Location</t>
  </si>
  <si>
    <t>CoE Township Enterprise =10</t>
  </si>
  <si>
    <t xml:space="preserve">CoE Urban Enterprise = 5 </t>
  </si>
  <si>
    <t>Gauteng Enterprise =2</t>
  </si>
  <si>
    <t>Company Experience</t>
  </si>
  <si>
    <t xml:space="preserve">Relevant experience of the company operating in the sector  </t>
  </si>
  <si>
    <t>1 year = 5 points</t>
  </si>
  <si>
    <t>2 years = 10 points</t>
  </si>
  <si>
    <t>3 years = 15 points</t>
  </si>
  <si>
    <t>4 years = 20 points</t>
  </si>
  <si>
    <t>5 years and above = 25 points</t>
  </si>
  <si>
    <t>Reference</t>
  </si>
  <si>
    <t>Trade References.</t>
  </si>
  <si>
    <t>1 letter/ Support letter form ward councillor = 5 points</t>
  </si>
  <si>
    <t>2 letters = 10 points</t>
  </si>
  <si>
    <t>3 letters = 15 points</t>
  </si>
  <si>
    <t>Average Score</t>
  </si>
  <si>
    <t>All applicants are required to score a minimum of 65 of 100 points against the qualifying criteria to move to the next level of adjudication.</t>
  </si>
  <si>
    <t>Stage 2</t>
  </si>
  <si>
    <t>Qualifying applicants to be subjected to a compulsory interview.</t>
  </si>
  <si>
    <t>The applicant's key functional areas shall be those that are aligned to the responsibility of the Municipality, i.e., the applicant must be an SMME, non-profit institution/organization/body that is serving the poor</t>
  </si>
  <si>
    <t>1.Meets expectations – 20</t>
  </si>
  <si>
    <t>2.Significantly exceeds expectations = 30</t>
  </si>
  <si>
    <t>3. Outstandingly exceeds expectations= 50</t>
  </si>
  <si>
    <t>(Stage 1 / Stage 2)</t>
  </si>
  <si>
    <t>Working Committee must screen, evaluate and adjudicate applications received</t>
  </si>
  <si>
    <t>Nigel Traders Market</t>
  </si>
  <si>
    <t>Nigel CBD Taxi Rank, opposite the Nigel Shopping Centre</t>
  </si>
  <si>
    <t>Zonk'izizwe Market</t>
  </si>
  <si>
    <t xml:space="preserve">Opposite Zonk’zizwe Main taxi rank </t>
  </si>
  <si>
    <t>Vosloorus Market</t>
  </si>
  <si>
    <t>Business Unit</t>
  </si>
  <si>
    <t>Kwa-Thema Traders Market</t>
  </si>
  <si>
    <t>Formal Stalls</t>
  </si>
  <si>
    <t>Indoor Units</t>
  </si>
  <si>
    <t>Workstations</t>
  </si>
  <si>
    <t>Katlehong 1</t>
  </si>
  <si>
    <t>Storages</t>
  </si>
  <si>
    <t>Restaurant Areas/Tuckshops</t>
  </si>
  <si>
    <t>Training Centre</t>
  </si>
  <si>
    <t>Braai Area</t>
  </si>
  <si>
    <t>Township Automotive Hub</t>
  </si>
  <si>
    <t>Ekurhuleni Automotive manufacturing hub (Unit A01)</t>
  </si>
  <si>
    <t>Ekurhuleni Automotive manufacturing hub (Unit A02)</t>
  </si>
  <si>
    <t>Ekurhuleni Automotive manufacturing hub (Unit A03)</t>
  </si>
  <si>
    <t>Ekurhuleni Automotive manufacturing hub (Unit A04)</t>
  </si>
  <si>
    <t>EkurhuleniAutomotive manufacturing hub (Unit A05)</t>
  </si>
  <si>
    <t>Ekurhuleni Automotive manufacturing hub (Unit A06)</t>
  </si>
  <si>
    <t>Ekurhuleni Automotive manufacturing hub</t>
  </si>
  <si>
    <t>Erf 585 Rabotapi Street, Moshoeshoe Section. Katlehong</t>
  </si>
  <si>
    <t>Trade Training Stations</t>
  </si>
  <si>
    <t>Supervisory Stations</t>
  </si>
  <si>
    <t>Admin Block</t>
  </si>
  <si>
    <t>Ablution Block</t>
  </si>
  <si>
    <t>Inventory Block</t>
  </si>
  <si>
    <t>ERF 20912 and 20913 Vosloorus Extension 29</t>
  </si>
  <si>
    <t>ERF 20912 and 20913 Vosloorus Extension 30</t>
  </si>
  <si>
    <t>ERF 20912 and 20913 Vosloorus Extension 31</t>
  </si>
  <si>
    <t>ERF 20912 and 20913 Vosloorus Extension 32</t>
  </si>
  <si>
    <t>ERF 20912 and 20913 Vosloorus Extension 33</t>
  </si>
  <si>
    <t>Thokoza FabLab Facility</t>
  </si>
  <si>
    <t>Tembisa FabLab Facility</t>
  </si>
  <si>
    <t>Tsakane FabLab Facility</t>
  </si>
  <si>
    <t>Duduza FabLab Facility</t>
  </si>
  <si>
    <t>Vosloorus FabLab Facility</t>
  </si>
  <si>
    <t>Plot</t>
  </si>
  <si>
    <t>Chicken Broiler</t>
  </si>
  <si>
    <t>Farm</t>
  </si>
  <si>
    <t>Piggery</t>
  </si>
  <si>
    <t>Cattle Kraal</t>
  </si>
  <si>
    <r>
      <t>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Avenue, Springs</t>
    </r>
  </si>
  <si>
    <t>Thokoza Traders Market</t>
  </si>
  <si>
    <t>Min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</si>
</sst>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i/>
      <sz val="11"/>
      <color theme="1"/>
      <name val="Arial"/>
      <family val="2"/>
    </font>
    <font>
      <b/>
      <u/>
      <sz val="11"/>
      <color rgb="FF000000"/>
      <name val="Arial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theme="1"/>
      <name val="Symbol"/>
      <family val="1"/>
      <charset val="2"/>
    </font>
    <font>
      <sz val="12"/>
      <color rgb="FF272727"/>
      <name val="Arial"/>
      <family val="2"/>
    </font>
    <font>
      <vertAlign val="super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7CAAC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6" fillId="0" borderId="8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justify" vertical="center" wrapText="1"/>
    </xf>
    <xf numFmtId="0" fontId="8" fillId="3" borderId="4" xfId="0" applyFont="1" applyFill="1" applyBorder="1" applyAlignment="1">
      <alignment horizontal="justify" vertical="center" wrapText="1"/>
    </xf>
    <xf numFmtId="0" fontId="10" fillId="0" borderId="7" xfId="0" applyFont="1" applyBorder="1" applyAlignment="1">
      <alignment horizontal="justify" vertical="center" wrapText="1"/>
    </xf>
    <xf numFmtId="0" fontId="11" fillId="0" borderId="7" xfId="0" applyFont="1" applyBorder="1" applyAlignment="1">
      <alignment horizontal="justify" vertical="center" wrapText="1"/>
    </xf>
    <xf numFmtId="0" fontId="12" fillId="0" borderId="7" xfId="0" applyFont="1" applyBorder="1" applyAlignment="1">
      <alignment horizontal="justify" vertical="center" wrapText="1"/>
    </xf>
    <xf numFmtId="0" fontId="10" fillId="0" borderId="6" xfId="0" applyFont="1" applyBorder="1" applyAlignment="1">
      <alignment horizontal="justify" vertical="center" wrapText="1"/>
    </xf>
    <xf numFmtId="0" fontId="15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 wrapText="1" indent="3"/>
    </xf>
    <xf numFmtId="0" fontId="16" fillId="0" borderId="7" xfId="0" applyFont="1" applyBorder="1" applyAlignment="1">
      <alignment horizontal="left" vertical="center" wrapText="1" indent="3"/>
    </xf>
    <xf numFmtId="0" fontId="11" fillId="0" borderId="6" xfId="0" applyFont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12" fillId="0" borderId="6" xfId="0" applyFont="1" applyBorder="1" applyAlignment="1">
      <alignment horizontal="justify" vertical="center" wrapText="1"/>
    </xf>
    <xf numFmtId="0" fontId="14" fillId="0" borderId="7" xfId="0" applyFont="1" applyBorder="1" applyAlignment="1">
      <alignment horizontal="justify" vertic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10" fillId="0" borderId="8" xfId="0" applyFont="1" applyBorder="1" applyAlignment="1">
      <alignment horizontal="justify" vertical="center" wrapText="1"/>
    </xf>
    <xf numFmtId="0" fontId="10" fillId="0" borderId="5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justify" vertical="center" wrapText="1"/>
    </xf>
    <xf numFmtId="0" fontId="10" fillId="0" borderId="15" xfId="0" applyFont="1" applyBorder="1" applyAlignment="1">
      <alignment horizontal="justify" vertical="center" wrapText="1"/>
    </xf>
    <xf numFmtId="0" fontId="10" fillId="0" borderId="3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justify" vertical="center" wrapText="1"/>
    </xf>
    <xf numFmtId="0" fontId="6" fillId="0" borderId="15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18" fillId="0" borderId="7" xfId="0" applyFont="1" applyBorder="1" applyAlignment="1">
      <alignment horizontal="justify" vertical="center" wrapText="1"/>
    </xf>
    <xf numFmtId="0" fontId="19" fillId="0" borderId="7" xfId="0" applyFont="1" applyBorder="1" applyAlignment="1">
      <alignment horizontal="justify" vertical="center" wrapText="1"/>
    </xf>
    <xf numFmtId="0" fontId="19" fillId="0" borderId="7" xfId="0" applyFont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5" fillId="0" borderId="5" xfId="0" applyFont="1" applyBorder="1" applyAlignment="1">
      <alignment horizontal="justify" vertical="center" wrapText="1"/>
    </xf>
    <xf numFmtId="0" fontId="0" fillId="0" borderId="4" xfId="0" applyBorder="1" applyAlignment="1">
      <alignment vertical="top" wrapText="1"/>
    </xf>
    <xf numFmtId="0" fontId="5" fillId="0" borderId="4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0" fillId="0" borderId="0" xfId="0" applyAlignment="1">
      <alignment wrapText="1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64" fontId="0" fillId="0" borderId="0" xfId="0" applyNumberFormat="1"/>
    <xf numFmtId="0" fontId="1" fillId="0" borderId="1" xfId="0" applyFont="1" applyFill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9" fillId="0" borderId="0" xfId="0" applyFont="1" applyFill="1" applyAlignment="1">
      <alignment horizontal="justify" vertical="center"/>
    </xf>
    <xf numFmtId="0" fontId="7" fillId="3" borderId="6" xfId="0" applyFont="1" applyFill="1" applyBorder="1" applyAlignment="1">
      <alignment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FB956-032A-4B64-8A22-555F861C6AAE}">
  <dimension ref="B2:D7"/>
  <sheetViews>
    <sheetView workbookViewId="0">
      <selection activeCell="E7" sqref="E7"/>
    </sheetView>
  </sheetViews>
  <sheetFormatPr defaultRowHeight="14.4" x14ac:dyDescent="0.3"/>
  <cols>
    <col min="1" max="1" width="8.88671875" style="1"/>
    <col min="2" max="2" width="4.21875" style="1" bestFit="1" customWidth="1"/>
    <col min="3" max="3" width="33.109375" style="1" bestFit="1" customWidth="1"/>
    <col min="4" max="4" width="21.109375" style="1" customWidth="1"/>
    <col min="5" max="16384" width="8.88671875" style="1"/>
  </cols>
  <sheetData>
    <row r="2" spans="2:4" ht="46.8" x14ac:dyDescent="0.3">
      <c r="B2" s="8" t="s">
        <v>46</v>
      </c>
      <c r="C2" s="8" t="s">
        <v>57</v>
      </c>
      <c r="D2" s="9" t="s">
        <v>56</v>
      </c>
    </row>
    <row r="3" spans="2:4" x14ac:dyDescent="0.3">
      <c r="B3" s="10" t="s">
        <v>47</v>
      </c>
      <c r="C3" s="11" t="s">
        <v>14</v>
      </c>
      <c r="D3" s="10" t="s">
        <v>48</v>
      </c>
    </row>
    <row r="4" spans="2:4" x14ac:dyDescent="0.3">
      <c r="B4" s="10" t="s">
        <v>49</v>
      </c>
      <c r="C4" s="11" t="s">
        <v>15</v>
      </c>
      <c r="D4" s="10" t="s">
        <v>48</v>
      </c>
    </row>
    <row r="5" spans="2:4" x14ac:dyDescent="0.3">
      <c r="B5" s="10" t="s">
        <v>50</v>
      </c>
      <c r="C5" s="11" t="s">
        <v>36</v>
      </c>
      <c r="D5" s="10" t="s">
        <v>51</v>
      </c>
    </row>
    <row r="6" spans="2:4" x14ac:dyDescent="0.3">
      <c r="B6" s="10" t="s">
        <v>52</v>
      </c>
      <c r="C6" s="2" t="s">
        <v>37</v>
      </c>
      <c r="D6" s="10" t="s">
        <v>53</v>
      </c>
    </row>
    <row r="7" spans="2:4" x14ac:dyDescent="0.3">
      <c r="B7" s="10" t="s">
        <v>54</v>
      </c>
      <c r="C7" s="2" t="s">
        <v>34</v>
      </c>
      <c r="D7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005A-FFDD-44D3-9662-C839FB3F8ACF}">
  <dimension ref="B2:K92"/>
  <sheetViews>
    <sheetView tabSelected="1" workbookViewId="0">
      <selection activeCell="D94" sqref="D94"/>
    </sheetView>
  </sheetViews>
  <sheetFormatPr defaultRowHeight="14.4" x14ac:dyDescent="0.3"/>
  <cols>
    <col min="2" max="2" width="32.44140625" customWidth="1"/>
    <col min="3" max="3" width="18.33203125" customWidth="1"/>
    <col min="4" max="4" width="28.5546875" style="77" customWidth="1"/>
    <col min="5" max="5" width="24.21875" customWidth="1"/>
    <col min="6" max="6" width="27.21875" customWidth="1"/>
    <col min="7" max="7" width="16.21875" customWidth="1"/>
    <col min="8" max="8" width="19.21875" customWidth="1"/>
    <col min="9" max="9" width="20.21875" customWidth="1"/>
    <col min="10" max="10" width="16.21875" style="23" customWidth="1"/>
  </cols>
  <sheetData>
    <row r="2" spans="2:10" ht="28.8" x14ac:dyDescent="0.3">
      <c r="B2" s="6" t="s">
        <v>0</v>
      </c>
      <c r="C2" s="6" t="s">
        <v>23</v>
      </c>
      <c r="D2" s="6" t="s">
        <v>61</v>
      </c>
      <c r="E2" s="6" t="s">
        <v>45</v>
      </c>
      <c r="F2" s="6" t="s">
        <v>13</v>
      </c>
      <c r="G2" s="6" t="s">
        <v>59</v>
      </c>
      <c r="H2" s="7" t="s">
        <v>60</v>
      </c>
      <c r="I2" s="6" t="s">
        <v>58</v>
      </c>
      <c r="J2" s="6" t="s">
        <v>16</v>
      </c>
    </row>
    <row r="3" spans="2:10" ht="14.4" customHeight="1" x14ac:dyDescent="0.3">
      <c r="B3" s="2" t="s">
        <v>11</v>
      </c>
      <c r="C3" s="2" t="s">
        <v>43</v>
      </c>
      <c r="D3" s="2" t="s">
        <v>62</v>
      </c>
      <c r="E3" s="81" t="s">
        <v>80</v>
      </c>
      <c r="F3" s="2" t="s">
        <v>39</v>
      </c>
      <c r="G3" s="4">
        <v>6</v>
      </c>
      <c r="H3" s="5">
        <v>57</v>
      </c>
      <c r="I3" s="5">
        <f>H3*G3</f>
        <v>342</v>
      </c>
      <c r="J3" s="4">
        <v>22</v>
      </c>
    </row>
    <row r="4" spans="2:10" ht="15" customHeight="1" x14ac:dyDescent="0.3">
      <c r="B4" s="2" t="s">
        <v>11</v>
      </c>
      <c r="C4" s="2" t="s">
        <v>43</v>
      </c>
      <c r="D4" s="2" t="s">
        <v>62</v>
      </c>
      <c r="E4" s="81" t="s">
        <v>80</v>
      </c>
      <c r="F4" s="2" t="s">
        <v>40</v>
      </c>
      <c r="G4" s="4">
        <v>12</v>
      </c>
      <c r="H4" s="5">
        <v>57</v>
      </c>
      <c r="I4" s="5">
        <f>H4*G4</f>
        <v>684</v>
      </c>
      <c r="J4" s="4">
        <v>18</v>
      </c>
    </row>
    <row r="5" spans="2:10" ht="28.8" x14ac:dyDescent="0.3">
      <c r="B5" s="81" t="s">
        <v>261</v>
      </c>
      <c r="C5" s="81" t="s">
        <v>63</v>
      </c>
      <c r="D5" s="2" t="s">
        <v>262</v>
      </c>
      <c r="E5" s="81" t="s">
        <v>80</v>
      </c>
      <c r="F5" s="81" t="s">
        <v>39</v>
      </c>
      <c r="G5" s="4">
        <v>6</v>
      </c>
      <c r="H5" s="5">
        <v>57</v>
      </c>
      <c r="I5" s="5">
        <f>H5*G5</f>
        <v>342</v>
      </c>
      <c r="J5" s="4">
        <v>48</v>
      </c>
    </row>
    <row r="6" spans="2:10" ht="28.8" x14ac:dyDescent="0.3">
      <c r="B6" s="81" t="s">
        <v>64</v>
      </c>
      <c r="C6" s="81" t="s">
        <v>24</v>
      </c>
      <c r="D6" s="2" t="s">
        <v>65</v>
      </c>
      <c r="E6" s="81" t="s">
        <v>80</v>
      </c>
      <c r="F6" s="81" t="s">
        <v>39</v>
      </c>
      <c r="G6" s="4">
        <v>6</v>
      </c>
      <c r="H6" s="5">
        <v>57</v>
      </c>
      <c r="I6" s="5">
        <f>H6*G6</f>
        <v>342</v>
      </c>
      <c r="J6" s="4">
        <v>380</v>
      </c>
    </row>
    <row r="7" spans="2:10" x14ac:dyDescent="0.3">
      <c r="B7" s="81" t="s">
        <v>66</v>
      </c>
      <c r="C7" s="81" t="s">
        <v>44</v>
      </c>
      <c r="D7" s="2" t="s">
        <v>67</v>
      </c>
      <c r="E7" s="81" t="s">
        <v>80</v>
      </c>
      <c r="F7" s="81" t="s">
        <v>39</v>
      </c>
      <c r="G7" s="78">
        <v>6</v>
      </c>
      <c r="H7" s="79">
        <v>57</v>
      </c>
      <c r="I7" s="79">
        <f>H7*G7</f>
        <v>342</v>
      </c>
      <c r="J7" s="4">
        <v>120</v>
      </c>
    </row>
    <row r="8" spans="2:10" x14ac:dyDescent="0.3">
      <c r="B8" s="81" t="s">
        <v>68</v>
      </c>
      <c r="C8" s="81" t="s">
        <v>43</v>
      </c>
      <c r="D8" s="2" t="s">
        <v>69</v>
      </c>
      <c r="E8" s="81" t="s">
        <v>80</v>
      </c>
      <c r="F8" s="81" t="s">
        <v>39</v>
      </c>
      <c r="G8" s="78">
        <v>6</v>
      </c>
      <c r="H8" s="79">
        <v>57</v>
      </c>
      <c r="I8" s="79">
        <f>H8*G8</f>
        <v>342</v>
      </c>
      <c r="J8" s="4">
        <v>150</v>
      </c>
    </row>
    <row r="9" spans="2:10" ht="28.8" x14ac:dyDescent="0.3">
      <c r="B9" s="81" t="s">
        <v>70</v>
      </c>
      <c r="C9" s="81" t="s">
        <v>43</v>
      </c>
      <c r="D9" s="2" t="s">
        <v>71</v>
      </c>
      <c r="E9" s="81" t="s">
        <v>80</v>
      </c>
      <c r="F9" s="81" t="s">
        <v>39</v>
      </c>
      <c r="G9" s="78">
        <v>6</v>
      </c>
      <c r="H9" s="79">
        <v>57</v>
      </c>
      <c r="I9" s="79">
        <f>H9*G9</f>
        <v>342</v>
      </c>
      <c r="J9" s="4">
        <v>370</v>
      </c>
    </row>
    <row r="10" spans="2:10" ht="28.8" x14ac:dyDescent="0.3">
      <c r="B10" s="81" t="s">
        <v>72</v>
      </c>
      <c r="C10" s="81" t="s">
        <v>43</v>
      </c>
      <c r="D10" s="2" t="s">
        <v>73</v>
      </c>
      <c r="E10" s="81" t="s">
        <v>80</v>
      </c>
      <c r="F10" s="81" t="s">
        <v>39</v>
      </c>
      <c r="G10" s="78">
        <v>6</v>
      </c>
      <c r="H10" s="79">
        <v>57</v>
      </c>
      <c r="I10" s="79">
        <f>H10*G10</f>
        <v>342</v>
      </c>
      <c r="J10" s="4">
        <v>35</v>
      </c>
    </row>
    <row r="11" spans="2:10" ht="28.8" x14ac:dyDescent="0.3">
      <c r="B11" s="81" t="s">
        <v>263</v>
      </c>
      <c r="C11" s="81" t="s">
        <v>84</v>
      </c>
      <c r="D11" s="2" t="s">
        <v>264</v>
      </c>
      <c r="E11" s="81" t="s">
        <v>80</v>
      </c>
      <c r="F11" s="81" t="s">
        <v>39</v>
      </c>
      <c r="G11" s="78">
        <v>9</v>
      </c>
      <c r="H11" s="79">
        <v>57</v>
      </c>
      <c r="I11" s="79">
        <f>H11*G11</f>
        <v>513</v>
      </c>
      <c r="J11" s="4">
        <v>27</v>
      </c>
    </row>
    <row r="12" spans="2:10" x14ac:dyDescent="0.3">
      <c r="B12" s="81" t="s">
        <v>265</v>
      </c>
      <c r="C12" s="81" t="s">
        <v>117</v>
      </c>
      <c r="D12" s="2" t="s">
        <v>74</v>
      </c>
      <c r="E12" s="81" t="s">
        <v>80</v>
      </c>
      <c r="F12" s="81" t="s">
        <v>39</v>
      </c>
      <c r="G12" s="78">
        <v>6</v>
      </c>
      <c r="H12" s="79">
        <v>57</v>
      </c>
      <c r="I12" s="79">
        <f>H12*G12</f>
        <v>342</v>
      </c>
      <c r="J12" s="4">
        <v>30</v>
      </c>
    </row>
    <row r="13" spans="2:10" ht="28.8" x14ac:dyDescent="0.3">
      <c r="B13" s="81" t="s">
        <v>306</v>
      </c>
      <c r="C13" s="81" t="s">
        <v>24</v>
      </c>
      <c r="D13" s="2" t="s">
        <v>75</v>
      </c>
      <c r="E13" s="81" t="s">
        <v>80</v>
      </c>
      <c r="F13" s="81" t="s">
        <v>266</v>
      </c>
      <c r="G13" s="4"/>
      <c r="H13" s="79">
        <v>57</v>
      </c>
      <c r="I13" s="79">
        <f>H13*G13</f>
        <v>0</v>
      </c>
      <c r="J13" s="4">
        <v>21</v>
      </c>
    </row>
    <row r="14" spans="2:10" ht="28.8" x14ac:dyDescent="0.3">
      <c r="B14" s="81" t="s">
        <v>306</v>
      </c>
      <c r="C14" s="81" t="s">
        <v>24</v>
      </c>
      <c r="D14" s="2" t="s">
        <v>75</v>
      </c>
      <c r="E14" s="81" t="s">
        <v>80</v>
      </c>
      <c r="F14" s="81" t="s">
        <v>21</v>
      </c>
      <c r="G14" s="4">
        <v>20</v>
      </c>
      <c r="H14" s="79">
        <v>57</v>
      </c>
      <c r="I14" s="79">
        <f>H14*G14</f>
        <v>1140</v>
      </c>
      <c r="J14" s="4">
        <v>1</v>
      </c>
    </row>
    <row r="15" spans="2:10" x14ac:dyDescent="0.3">
      <c r="B15" s="81" t="s">
        <v>267</v>
      </c>
      <c r="C15" s="81" t="s">
        <v>26</v>
      </c>
      <c r="D15" s="2" t="s">
        <v>76</v>
      </c>
      <c r="E15" s="81" t="s">
        <v>80</v>
      </c>
      <c r="F15" s="81" t="s">
        <v>39</v>
      </c>
      <c r="G15" s="78">
        <v>6</v>
      </c>
      <c r="H15" s="79">
        <v>57</v>
      </c>
      <c r="I15" s="79">
        <f>H15*G15</f>
        <v>342</v>
      </c>
      <c r="J15" s="4">
        <v>250</v>
      </c>
    </row>
    <row r="16" spans="2:10" x14ac:dyDescent="0.3">
      <c r="B16" s="81" t="s">
        <v>77</v>
      </c>
      <c r="C16" s="81" t="s">
        <v>25</v>
      </c>
      <c r="D16" s="2" t="s">
        <v>78</v>
      </c>
      <c r="E16" s="81" t="s">
        <v>80</v>
      </c>
      <c r="F16" s="81" t="s">
        <v>39</v>
      </c>
      <c r="G16" s="78">
        <v>6</v>
      </c>
      <c r="H16" s="79">
        <v>57</v>
      </c>
      <c r="I16" s="79">
        <f>H16*G16</f>
        <v>342</v>
      </c>
      <c r="J16" s="4">
        <v>27</v>
      </c>
    </row>
    <row r="17" spans="2:10" x14ac:dyDescent="0.3">
      <c r="B17" s="2" t="s">
        <v>5</v>
      </c>
      <c r="C17" s="2" t="s">
        <v>32</v>
      </c>
      <c r="D17" s="2" t="s">
        <v>79</v>
      </c>
      <c r="E17" s="81" t="s">
        <v>80</v>
      </c>
      <c r="F17" s="2" t="s">
        <v>21</v>
      </c>
      <c r="G17" s="78">
        <v>20</v>
      </c>
      <c r="H17" s="79">
        <v>57</v>
      </c>
      <c r="I17" s="79">
        <f>H17*G17</f>
        <v>1140</v>
      </c>
      <c r="J17" s="4">
        <v>21</v>
      </c>
    </row>
    <row r="18" spans="2:10" ht="16.2" x14ac:dyDescent="0.3">
      <c r="B18" s="2" t="s">
        <v>3</v>
      </c>
      <c r="C18" s="81" t="s">
        <v>26</v>
      </c>
      <c r="D18" s="2" t="s">
        <v>305</v>
      </c>
      <c r="E18" s="81" t="s">
        <v>80</v>
      </c>
      <c r="F18" s="81" t="s">
        <v>21</v>
      </c>
      <c r="G18" s="78">
        <v>20</v>
      </c>
      <c r="H18" s="79">
        <v>57</v>
      </c>
      <c r="I18" s="79">
        <f>H18*G18</f>
        <v>1140</v>
      </c>
      <c r="J18" s="4">
        <v>21</v>
      </c>
    </row>
    <row r="19" spans="2:10" x14ac:dyDescent="0.3">
      <c r="B19" s="81" t="s">
        <v>82</v>
      </c>
      <c r="C19" s="81" t="s">
        <v>81</v>
      </c>
      <c r="D19" s="80" t="s">
        <v>82</v>
      </c>
      <c r="E19" s="81" t="s">
        <v>88</v>
      </c>
      <c r="F19" s="81" t="s">
        <v>268</v>
      </c>
      <c r="G19" s="78">
        <v>12</v>
      </c>
      <c r="H19" s="79">
        <v>57</v>
      </c>
      <c r="I19" s="79">
        <f>H19*G19</f>
        <v>684</v>
      </c>
      <c r="J19" s="4">
        <v>18</v>
      </c>
    </row>
    <row r="20" spans="2:10" x14ac:dyDescent="0.3">
      <c r="B20" s="81" t="s">
        <v>83</v>
      </c>
      <c r="C20" s="81" t="s">
        <v>44</v>
      </c>
      <c r="D20" s="2" t="s">
        <v>83</v>
      </c>
      <c r="E20" s="81" t="s">
        <v>88</v>
      </c>
      <c r="F20" s="81" t="s">
        <v>268</v>
      </c>
      <c r="G20" s="78">
        <v>12</v>
      </c>
      <c r="H20" s="79">
        <v>57</v>
      </c>
      <c r="I20" s="79">
        <f>H20*G20</f>
        <v>684</v>
      </c>
      <c r="J20" s="4">
        <v>24</v>
      </c>
    </row>
    <row r="21" spans="2:10" x14ac:dyDescent="0.3">
      <c r="B21" s="81" t="s">
        <v>85</v>
      </c>
      <c r="C21" s="81" t="s">
        <v>84</v>
      </c>
      <c r="D21" s="2" t="s">
        <v>85</v>
      </c>
      <c r="E21" s="81" t="s">
        <v>88</v>
      </c>
      <c r="F21" s="81" t="s">
        <v>39</v>
      </c>
      <c r="G21" s="78">
        <v>6</v>
      </c>
      <c r="H21" s="79">
        <v>57</v>
      </c>
      <c r="I21" s="79">
        <f>H21*G21</f>
        <v>342</v>
      </c>
      <c r="J21" s="4">
        <v>12</v>
      </c>
    </row>
    <row r="22" spans="2:10" x14ac:dyDescent="0.3">
      <c r="B22" s="81" t="s">
        <v>87</v>
      </c>
      <c r="C22" s="81" t="s">
        <v>86</v>
      </c>
      <c r="D22" s="2" t="s">
        <v>87</v>
      </c>
      <c r="E22" s="81" t="s">
        <v>88</v>
      </c>
      <c r="F22" s="81" t="s">
        <v>39</v>
      </c>
      <c r="G22" s="78">
        <v>6</v>
      </c>
      <c r="H22" s="79">
        <v>57</v>
      </c>
      <c r="I22" s="79">
        <f>H22*G22</f>
        <v>342</v>
      </c>
      <c r="J22" s="4">
        <v>15</v>
      </c>
    </row>
    <row r="23" spans="2:10" ht="43.2" x14ac:dyDescent="0.3">
      <c r="B23" s="2" t="s">
        <v>1</v>
      </c>
      <c r="C23" s="81" t="s">
        <v>24</v>
      </c>
      <c r="D23" s="2" t="s">
        <v>89</v>
      </c>
      <c r="E23" s="81" t="s">
        <v>14</v>
      </c>
      <c r="F23" s="81" t="s">
        <v>269</v>
      </c>
      <c r="G23" s="78">
        <v>65</v>
      </c>
      <c r="H23" s="79">
        <v>57</v>
      </c>
      <c r="I23" s="79">
        <f>H23*G23</f>
        <v>3705</v>
      </c>
      <c r="J23" s="4">
        <v>4</v>
      </c>
    </row>
    <row r="24" spans="2:10" ht="43.2" x14ac:dyDescent="0.3">
      <c r="B24" s="2" t="s">
        <v>1</v>
      </c>
      <c r="C24" s="81" t="s">
        <v>24</v>
      </c>
      <c r="D24" s="2" t="s">
        <v>89</v>
      </c>
      <c r="E24" s="81" t="s">
        <v>14</v>
      </c>
      <c r="F24" s="81" t="s">
        <v>31</v>
      </c>
      <c r="G24" s="78">
        <v>38</v>
      </c>
      <c r="H24" s="79">
        <v>57</v>
      </c>
      <c r="I24" s="79">
        <f>H24*G24</f>
        <v>2166</v>
      </c>
      <c r="J24" s="4">
        <v>1</v>
      </c>
    </row>
    <row r="25" spans="2:10" ht="57.6" x14ac:dyDescent="0.3">
      <c r="B25" s="2" t="s">
        <v>90</v>
      </c>
      <c r="C25" s="81" t="s">
        <v>271</v>
      </c>
      <c r="D25" s="2" t="s">
        <v>91</v>
      </c>
      <c r="E25" s="81" t="s">
        <v>14</v>
      </c>
      <c r="F25" s="80" t="s">
        <v>270</v>
      </c>
      <c r="G25" s="78">
        <v>60</v>
      </c>
      <c r="H25" s="79">
        <v>57</v>
      </c>
      <c r="I25" s="79">
        <f>H25*G25</f>
        <v>3420</v>
      </c>
      <c r="J25" s="4">
        <v>2</v>
      </c>
    </row>
    <row r="26" spans="2:10" ht="43.2" x14ac:dyDescent="0.3">
      <c r="B26" s="2" t="s">
        <v>4</v>
      </c>
      <c r="C26" s="2" t="s">
        <v>44</v>
      </c>
      <c r="D26" s="2" t="s">
        <v>92</v>
      </c>
      <c r="E26" s="81" t="s">
        <v>14</v>
      </c>
      <c r="F26" s="80" t="s">
        <v>17</v>
      </c>
      <c r="G26" s="78">
        <v>24</v>
      </c>
      <c r="H26" s="79">
        <v>57</v>
      </c>
      <c r="I26" s="79">
        <f>H26*G26</f>
        <v>1368</v>
      </c>
      <c r="J26" s="4">
        <v>8</v>
      </c>
    </row>
    <row r="27" spans="2:10" ht="28.8" x14ac:dyDescent="0.3">
      <c r="B27" s="2" t="s">
        <v>9</v>
      </c>
      <c r="C27" s="81" t="s">
        <v>43</v>
      </c>
      <c r="D27" s="2" t="s">
        <v>93</v>
      </c>
      <c r="E27" s="81" t="s">
        <v>14</v>
      </c>
      <c r="F27" s="81" t="s">
        <v>35</v>
      </c>
      <c r="G27" s="78">
        <v>322</v>
      </c>
      <c r="H27" s="79">
        <v>67</v>
      </c>
      <c r="I27" s="79">
        <f>H27*G27</f>
        <v>21574</v>
      </c>
      <c r="J27" s="4">
        <v>1</v>
      </c>
    </row>
    <row r="28" spans="2:10" ht="43.2" x14ac:dyDescent="0.3">
      <c r="B28" s="2" t="s">
        <v>10</v>
      </c>
      <c r="C28" s="2" t="s">
        <v>43</v>
      </c>
      <c r="D28" s="2" t="s">
        <v>94</v>
      </c>
      <c r="E28" s="81" t="s">
        <v>14</v>
      </c>
      <c r="F28" s="2" t="s">
        <v>17</v>
      </c>
      <c r="G28" s="4">
        <v>14</v>
      </c>
      <c r="H28" s="5">
        <v>57</v>
      </c>
      <c r="I28" s="79">
        <f>H28*G28</f>
        <v>798</v>
      </c>
      <c r="J28" s="4">
        <v>1</v>
      </c>
    </row>
    <row r="29" spans="2:10" ht="43.2" x14ac:dyDescent="0.3">
      <c r="B29" s="2" t="s">
        <v>10</v>
      </c>
      <c r="C29" s="2" t="s">
        <v>43</v>
      </c>
      <c r="D29" s="2" t="s">
        <v>94</v>
      </c>
      <c r="E29" s="81" t="s">
        <v>14</v>
      </c>
      <c r="F29" s="2" t="s">
        <v>35</v>
      </c>
      <c r="G29" s="4">
        <v>50</v>
      </c>
      <c r="H29" s="5">
        <v>67</v>
      </c>
      <c r="I29" s="79">
        <f>H29*G29</f>
        <v>3350</v>
      </c>
      <c r="J29" s="4">
        <v>1</v>
      </c>
    </row>
    <row r="30" spans="2:10" ht="43.2" x14ac:dyDescent="0.3">
      <c r="B30" s="2" t="s">
        <v>10</v>
      </c>
      <c r="C30" s="2" t="s">
        <v>43</v>
      </c>
      <c r="D30" s="2" t="s">
        <v>94</v>
      </c>
      <c r="E30" s="81" t="s">
        <v>14</v>
      </c>
      <c r="F30" s="2" t="s">
        <v>38</v>
      </c>
      <c r="G30" s="4">
        <v>11</v>
      </c>
      <c r="H30" s="5">
        <v>36</v>
      </c>
      <c r="I30" s="79">
        <f>H30*G30</f>
        <v>396</v>
      </c>
      <c r="J30" s="4">
        <v>5</v>
      </c>
    </row>
    <row r="31" spans="2:10" ht="43.2" x14ac:dyDescent="0.3">
      <c r="B31" s="2" t="s">
        <v>4</v>
      </c>
      <c r="C31" s="80" t="s">
        <v>44</v>
      </c>
      <c r="D31" s="2" t="s">
        <v>92</v>
      </c>
      <c r="E31" s="81" t="s">
        <v>14</v>
      </c>
      <c r="F31" s="80" t="s">
        <v>17</v>
      </c>
      <c r="G31" s="78">
        <v>24</v>
      </c>
      <c r="H31" s="79">
        <v>57</v>
      </c>
      <c r="I31" s="79">
        <f>H31*G31</f>
        <v>1368</v>
      </c>
      <c r="J31" s="4">
        <v>8</v>
      </c>
    </row>
    <row r="32" spans="2:10" ht="43.2" x14ac:dyDescent="0.3">
      <c r="B32" s="2" t="s">
        <v>4</v>
      </c>
      <c r="C32" s="80" t="s">
        <v>44</v>
      </c>
      <c r="D32" s="2" t="s">
        <v>92</v>
      </c>
      <c r="E32" s="81" t="s">
        <v>14</v>
      </c>
      <c r="F32" s="80" t="s">
        <v>17</v>
      </c>
      <c r="G32" s="78">
        <v>37</v>
      </c>
      <c r="H32" s="79">
        <v>57</v>
      </c>
      <c r="I32" s="79">
        <f>H32*G32</f>
        <v>2109</v>
      </c>
      <c r="J32" s="4">
        <v>4</v>
      </c>
    </row>
    <row r="33" spans="2:10" ht="43.2" x14ac:dyDescent="0.3">
      <c r="B33" s="2" t="s">
        <v>4</v>
      </c>
      <c r="C33" s="80" t="s">
        <v>44</v>
      </c>
      <c r="D33" s="2" t="s">
        <v>92</v>
      </c>
      <c r="E33" s="81" t="s">
        <v>14</v>
      </c>
      <c r="F33" s="80" t="s">
        <v>269</v>
      </c>
      <c r="G33" s="78">
        <v>80</v>
      </c>
      <c r="H33" s="79">
        <v>57</v>
      </c>
      <c r="I33" s="79">
        <f>H33*G33</f>
        <v>4560</v>
      </c>
      <c r="J33" s="4">
        <v>3</v>
      </c>
    </row>
    <row r="34" spans="2:10" ht="43.2" x14ac:dyDescent="0.3">
      <c r="B34" s="2" t="s">
        <v>4</v>
      </c>
      <c r="C34" s="80" t="s">
        <v>44</v>
      </c>
      <c r="D34" s="2" t="s">
        <v>92</v>
      </c>
      <c r="E34" s="81" t="s">
        <v>14</v>
      </c>
      <c r="F34" s="2" t="s">
        <v>30</v>
      </c>
      <c r="G34" s="4">
        <v>70</v>
      </c>
      <c r="H34" s="5">
        <v>57</v>
      </c>
      <c r="I34" s="5">
        <f>H34*G34</f>
        <v>3990</v>
      </c>
      <c r="J34" s="4">
        <v>4</v>
      </c>
    </row>
    <row r="35" spans="2:10" ht="43.2" x14ac:dyDescent="0.3">
      <c r="B35" s="2" t="s">
        <v>4</v>
      </c>
      <c r="C35" s="80" t="s">
        <v>44</v>
      </c>
      <c r="D35" s="2" t="s">
        <v>92</v>
      </c>
      <c r="E35" s="81" t="s">
        <v>14</v>
      </c>
      <c r="F35" s="80" t="s">
        <v>272</v>
      </c>
      <c r="G35" s="78">
        <v>40</v>
      </c>
      <c r="H35" s="79">
        <v>57</v>
      </c>
      <c r="I35" s="79">
        <f>H35*G35</f>
        <v>2280</v>
      </c>
      <c r="J35" s="4">
        <v>4</v>
      </c>
    </row>
    <row r="36" spans="2:10" ht="43.2" x14ac:dyDescent="0.3">
      <c r="B36" s="2" t="s">
        <v>4</v>
      </c>
      <c r="C36" s="80" t="s">
        <v>44</v>
      </c>
      <c r="D36" s="2" t="s">
        <v>92</v>
      </c>
      <c r="E36" s="81" t="s">
        <v>14</v>
      </c>
      <c r="F36" s="80" t="s">
        <v>272</v>
      </c>
      <c r="G36" s="78">
        <v>39</v>
      </c>
      <c r="H36" s="79">
        <v>57</v>
      </c>
      <c r="I36" s="79">
        <f>H36*G36</f>
        <v>2223</v>
      </c>
      <c r="J36" s="4">
        <v>3</v>
      </c>
    </row>
    <row r="37" spans="2:10" ht="43.2" x14ac:dyDescent="0.3">
      <c r="B37" s="2" t="s">
        <v>4</v>
      </c>
      <c r="C37" s="80" t="s">
        <v>44</v>
      </c>
      <c r="D37" s="2" t="s">
        <v>92</v>
      </c>
      <c r="E37" s="81" t="s">
        <v>14</v>
      </c>
      <c r="F37" s="80" t="s">
        <v>272</v>
      </c>
      <c r="G37" s="78">
        <v>12</v>
      </c>
      <c r="H37" s="79">
        <v>57</v>
      </c>
      <c r="I37" s="79">
        <f>H37*G37</f>
        <v>684</v>
      </c>
      <c r="J37" s="4">
        <v>1</v>
      </c>
    </row>
    <row r="38" spans="2:10" ht="43.2" x14ac:dyDescent="0.3">
      <c r="B38" s="2" t="s">
        <v>4</v>
      </c>
      <c r="C38" s="80" t="s">
        <v>44</v>
      </c>
      <c r="D38" s="2" t="s">
        <v>92</v>
      </c>
      <c r="E38" s="81" t="s">
        <v>14</v>
      </c>
      <c r="F38" s="80" t="s">
        <v>31</v>
      </c>
      <c r="G38" s="78">
        <v>26</v>
      </c>
      <c r="H38" s="79">
        <v>57</v>
      </c>
      <c r="I38" s="79">
        <f>H38*G38</f>
        <v>1482</v>
      </c>
      <c r="J38" s="4">
        <v>1</v>
      </c>
    </row>
    <row r="39" spans="2:10" ht="57.6" x14ac:dyDescent="0.3">
      <c r="B39" s="80" t="s">
        <v>95</v>
      </c>
      <c r="C39" s="80" t="s">
        <v>32</v>
      </c>
      <c r="D39" s="2" t="s">
        <v>96</v>
      </c>
      <c r="E39" s="81" t="s">
        <v>14</v>
      </c>
      <c r="F39" s="2" t="s">
        <v>29</v>
      </c>
      <c r="G39" s="4">
        <v>35</v>
      </c>
      <c r="H39" s="5">
        <v>57</v>
      </c>
      <c r="I39" s="5">
        <f>H39*G39</f>
        <v>1995</v>
      </c>
      <c r="J39" s="4">
        <v>12</v>
      </c>
    </row>
    <row r="40" spans="2:10" ht="57.6" x14ac:dyDescent="0.3">
      <c r="B40" s="80" t="s">
        <v>95</v>
      </c>
      <c r="C40" s="80" t="s">
        <v>32</v>
      </c>
      <c r="D40" s="2" t="s">
        <v>96</v>
      </c>
      <c r="E40" s="81" t="s">
        <v>14</v>
      </c>
      <c r="F40" s="2" t="s">
        <v>18</v>
      </c>
      <c r="G40" s="4">
        <v>17</v>
      </c>
      <c r="H40" s="5">
        <v>57</v>
      </c>
      <c r="I40" s="5">
        <f>H40*G40</f>
        <v>969</v>
      </c>
      <c r="J40" s="4">
        <v>3</v>
      </c>
    </row>
    <row r="41" spans="2:10" ht="57.6" x14ac:dyDescent="0.3">
      <c r="B41" s="80" t="s">
        <v>95</v>
      </c>
      <c r="C41" s="80" t="s">
        <v>32</v>
      </c>
      <c r="D41" s="2" t="s">
        <v>96</v>
      </c>
      <c r="E41" s="81" t="s">
        <v>14</v>
      </c>
      <c r="F41" s="2" t="s">
        <v>29</v>
      </c>
      <c r="G41" s="4">
        <v>34</v>
      </c>
      <c r="H41" s="5">
        <v>57</v>
      </c>
      <c r="I41" s="5">
        <f>H41*G41</f>
        <v>1938</v>
      </c>
      <c r="J41" s="4">
        <v>27</v>
      </c>
    </row>
    <row r="42" spans="2:10" ht="57.6" x14ac:dyDescent="0.3">
      <c r="B42" s="80" t="s">
        <v>95</v>
      </c>
      <c r="C42" s="80" t="s">
        <v>32</v>
      </c>
      <c r="D42" s="2" t="s">
        <v>96</v>
      </c>
      <c r="E42" s="81" t="s">
        <v>14</v>
      </c>
      <c r="F42" s="2" t="s">
        <v>29</v>
      </c>
      <c r="G42" s="4">
        <v>57</v>
      </c>
      <c r="H42" s="5">
        <v>57</v>
      </c>
      <c r="I42" s="5">
        <f>H42*G42</f>
        <v>3249</v>
      </c>
      <c r="J42" s="4">
        <v>5</v>
      </c>
    </row>
    <row r="43" spans="2:10" ht="57.6" x14ac:dyDescent="0.3">
      <c r="B43" s="80" t="s">
        <v>95</v>
      </c>
      <c r="C43" s="80" t="s">
        <v>32</v>
      </c>
      <c r="D43" s="2" t="s">
        <v>96</v>
      </c>
      <c r="E43" s="81" t="s">
        <v>14</v>
      </c>
      <c r="F43" s="2" t="s">
        <v>33</v>
      </c>
      <c r="G43" s="4">
        <v>173</v>
      </c>
      <c r="H43" s="5">
        <v>57</v>
      </c>
      <c r="I43" s="5">
        <f>H43*G43</f>
        <v>9861</v>
      </c>
      <c r="J43" s="4">
        <v>1</v>
      </c>
    </row>
    <row r="44" spans="2:10" ht="43.2" x14ac:dyDescent="0.3">
      <c r="B44" s="2" t="s">
        <v>7</v>
      </c>
      <c r="C44" s="80" t="s">
        <v>43</v>
      </c>
      <c r="D44" s="2" t="s">
        <v>97</v>
      </c>
      <c r="E44" s="81" t="s">
        <v>14</v>
      </c>
      <c r="F44" s="80" t="s">
        <v>29</v>
      </c>
      <c r="G44" s="78">
        <v>40</v>
      </c>
      <c r="H44" s="79">
        <v>57</v>
      </c>
      <c r="I44" s="79">
        <f>H44*G44</f>
        <v>2280</v>
      </c>
      <c r="J44" s="4">
        <v>7</v>
      </c>
    </row>
    <row r="45" spans="2:10" ht="43.2" x14ac:dyDescent="0.3">
      <c r="B45" s="2" t="s">
        <v>7</v>
      </c>
      <c r="C45" s="80" t="s">
        <v>43</v>
      </c>
      <c r="D45" s="2" t="s">
        <v>97</v>
      </c>
      <c r="E45" s="81" t="s">
        <v>14</v>
      </c>
      <c r="F45" s="2" t="s">
        <v>17</v>
      </c>
      <c r="G45" s="4">
        <v>13</v>
      </c>
      <c r="H45" s="79">
        <v>57</v>
      </c>
      <c r="I45" s="79">
        <f>H45*G45</f>
        <v>741</v>
      </c>
      <c r="J45" s="4">
        <v>3</v>
      </c>
    </row>
    <row r="46" spans="2:10" ht="43.2" x14ac:dyDescent="0.3">
      <c r="B46" s="2" t="s">
        <v>7</v>
      </c>
      <c r="C46" s="80" t="s">
        <v>43</v>
      </c>
      <c r="D46" s="2" t="s">
        <v>97</v>
      </c>
      <c r="E46" s="81" t="s">
        <v>14</v>
      </c>
      <c r="F46" s="80" t="s">
        <v>31</v>
      </c>
      <c r="G46" s="78">
        <v>23</v>
      </c>
      <c r="H46" s="79">
        <v>57</v>
      </c>
      <c r="I46" s="79">
        <f>H46*G46</f>
        <v>1311</v>
      </c>
      <c r="J46" s="4">
        <v>1</v>
      </c>
    </row>
    <row r="47" spans="2:10" ht="28.8" x14ac:dyDescent="0.3">
      <c r="B47" s="2" t="s">
        <v>12</v>
      </c>
      <c r="C47" s="2" t="s">
        <v>43</v>
      </c>
      <c r="D47" s="2" t="s">
        <v>98</v>
      </c>
      <c r="E47" s="81" t="s">
        <v>14</v>
      </c>
      <c r="F47" s="2" t="s">
        <v>35</v>
      </c>
      <c r="G47" s="4">
        <v>85</v>
      </c>
      <c r="H47" s="5">
        <v>67</v>
      </c>
      <c r="I47" s="5">
        <f>H47*G47</f>
        <v>5695</v>
      </c>
      <c r="J47" s="4">
        <v>1</v>
      </c>
    </row>
    <row r="48" spans="2:10" ht="28.8" x14ac:dyDescent="0.3">
      <c r="B48" s="2" t="s">
        <v>12</v>
      </c>
      <c r="C48" s="2" t="s">
        <v>43</v>
      </c>
      <c r="D48" s="2" t="s">
        <v>98</v>
      </c>
      <c r="E48" s="81" t="s">
        <v>14</v>
      </c>
      <c r="F48" s="2" t="s">
        <v>41</v>
      </c>
      <c r="G48" s="4">
        <v>7</v>
      </c>
      <c r="H48" s="5">
        <v>57</v>
      </c>
      <c r="I48" s="5">
        <f>H48*G48</f>
        <v>399</v>
      </c>
      <c r="J48" s="4">
        <v>1</v>
      </c>
    </row>
    <row r="49" spans="2:10" ht="28.8" x14ac:dyDescent="0.3">
      <c r="B49" s="2" t="s">
        <v>12</v>
      </c>
      <c r="C49" s="2" t="s">
        <v>43</v>
      </c>
      <c r="D49" s="2" t="s">
        <v>98</v>
      </c>
      <c r="E49" s="81" t="s">
        <v>14</v>
      </c>
      <c r="F49" s="2" t="s">
        <v>17</v>
      </c>
      <c r="G49" s="4">
        <v>24</v>
      </c>
      <c r="H49" s="5">
        <v>57</v>
      </c>
      <c r="I49" s="5">
        <f>H49*G49</f>
        <v>1368</v>
      </c>
      <c r="J49" s="4">
        <v>1</v>
      </c>
    </row>
    <row r="50" spans="2:10" ht="28.8" x14ac:dyDescent="0.3">
      <c r="B50" s="2" t="s">
        <v>2</v>
      </c>
      <c r="C50" s="2" t="s">
        <v>25</v>
      </c>
      <c r="D50" s="2" t="s">
        <v>99</v>
      </c>
      <c r="E50" s="83" t="s">
        <v>105</v>
      </c>
      <c r="F50" s="80" t="s">
        <v>17</v>
      </c>
      <c r="G50" s="78">
        <v>10</v>
      </c>
      <c r="H50" s="79">
        <v>57</v>
      </c>
      <c r="I50" s="79">
        <f>H50*G50</f>
        <v>570</v>
      </c>
      <c r="J50" s="4">
        <v>5</v>
      </c>
    </row>
    <row r="51" spans="2:10" ht="28.8" x14ac:dyDescent="0.3">
      <c r="B51" s="2" t="s">
        <v>2</v>
      </c>
      <c r="C51" s="2" t="s">
        <v>25</v>
      </c>
      <c r="D51" s="2" t="s">
        <v>99</v>
      </c>
      <c r="E51" s="83" t="s">
        <v>105</v>
      </c>
      <c r="F51" s="80" t="s">
        <v>18</v>
      </c>
      <c r="G51" s="78">
        <v>17</v>
      </c>
      <c r="H51" s="79">
        <v>57</v>
      </c>
      <c r="I51" s="79">
        <f>H51*G51</f>
        <v>969</v>
      </c>
      <c r="J51" s="4">
        <v>12</v>
      </c>
    </row>
    <row r="52" spans="2:10" ht="28.8" x14ac:dyDescent="0.3">
      <c r="B52" s="2" t="s">
        <v>2</v>
      </c>
      <c r="C52" s="2" t="s">
        <v>25</v>
      </c>
      <c r="D52" s="2" t="s">
        <v>99</v>
      </c>
      <c r="E52" s="83" t="s">
        <v>105</v>
      </c>
      <c r="F52" s="80" t="s">
        <v>21</v>
      </c>
      <c r="G52" s="78">
        <v>20</v>
      </c>
      <c r="H52" s="79">
        <v>57</v>
      </c>
      <c r="I52" s="79">
        <f>H52*G52</f>
        <v>1140</v>
      </c>
      <c r="J52" s="4">
        <v>20</v>
      </c>
    </row>
    <row r="53" spans="2:10" ht="28.8" x14ac:dyDescent="0.3">
      <c r="B53" s="2" t="s">
        <v>19</v>
      </c>
      <c r="C53" s="2" t="s">
        <v>28</v>
      </c>
      <c r="D53" s="2" t="s">
        <v>100</v>
      </c>
      <c r="E53" s="83" t="s">
        <v>105</v>
      </c>
      <c r="F53" s="3" t="s">
        <v>29</v>
      </c>
      <c r="G53" s="4">
        <v>21</v>
      </c>
      <c r="H53" s="5">
        <v>57</v>
      </c>
      <c r="I53" s="5">
        <f>H53*G53</f>
        <v>1197</v>
      </c>
      <c r="J53" s="4">
        <v>32</v>
      </c>
    </row>
    <row r="54" spans="2:10" ht="28.8" x14ac:dyDescent="0.3">
      <c r="B54" s="2" t="s">
        <v>20</v>
      </c>
      <c r="C54" s="2" t="s">
        <v>28</v>
      </c>
      <c r="D54" s="2" t="s">
        <v>100</v>
      </c>
      <c r="E54" s="83" t="s">
        <v>105</v>
      </c>
      <c r="F54" s="3" t="s">
        <v>29</v>
      </c>
      <c r="G54" s="4">
        <v>42.5</v>
      </c>
      <c r="H54" s="5">
        <v>57</v>
      </c>
      <c r="I54" s="5">
        <f>H54*G54</f>
        <v>2422.5</v>
      </c>
      <c r="J54" s="4">
        <v>12</v>
      </c>
    </row>
    <row r="55" spans="2:10" ht="43.2" x14ac:dyDescent="0.3">
      <c r="B55" s="2" t="s">
        <v>8</v>
      </c>
      <c r="C55" s="2" t="s">
        <v>43</v>
      </c>
      <c r="D55" s="2" t="s">
        <v>101</v>
      </c>
      <c r="E55" s="83" t="s">
        <v>105</v>
      </c>
      <c r="F55" s="2" t="s">
        <v>17</v>
      </c>
      <c r="G55" s="4">
        <v>13</v>
      </c>
      <c r="H55" s="5">
        <v>57</v>
      </c>
      <c r="I55" s="5">
        <f>H55*G55</f>
        <v>741</v>
      </c>
      <c r="J55" s="4">
        <v>18</v>
      </c>
    </row>
    <row r="56" spans="2:10" ht="28.8" x14ac:dyDescent="0.3">
      <c r="B56" s="2" t="s">
        <v>22</v>
      </c>
      <c r="C56" s="2" t="s">
        <v>27</v>
      </c>
      <c r="D56" s="2" t="s">
        <v>102</v>
      </c>
      <c r="E56" s="83" t="s">
        <v>105</v>
      </c>
      <c r="F56" s="80" t="s">
        <v>18</v>
      </c>
      <c r="G56" s="78">
        <v>9</v>
      </c>
      <c r="H56" s="79">
        <v>57</v>
      </c>
      <c r="I56" s="79">
        <f>H56*G56</f>
        <v>513</v>
      </c>
      <c r="J56" s="4">
        <v>1</v>
      </c>
    </row>
    <row r="57" spans="2:10" ht="28.8" x14ac:dyDescent="0.3">
      <c r="B57" s="2" t="s">
        <v>103</v>
      </c>
      <c r="C57" s="80" t="s">
        <v>86</v>
      </c>
      <c r="D57" s="2" t="s">
        <v>104</v>
      </c>
      <c r="E57" s="83" t="s">
        <v>105</v>
      </c>
      <c r="F57" s="80" t="s">
        <v>35</v>
      </c>
      <c r="G57" s="78">
        <v>15</v>
      </c>
      <c r="H57" s="79">
        <v>57</v>
      </c>
      <c r="I57" s="79">
        <f>H57*G57</f>
        <v>855</v>
      </c>
      <c r="J57" s="4">
        <v>28</v>
      </c>
    </row>
    <row r="58" spans="2:10" ht="28.8" x14ac:dyDescent="0.3">
      <c r="B58" s="2" t="s">
        <v>103</v>
      </c>
      <c r="C58" s="80" t="s">
        <v>86</v>
      </c>
      <c r="D58" s="2" t="s">
        <v>104</v>
      </c>
      <c r="E58" s="83" t="s">
        <v>105</v>
      </c>
      <c r="F58" s="80" t="s">
        <v>17</v>
      </c>
      <c r="G58" s="4">
        <v>21</v>
      </c>
      <c r="H58" s="79">
        <v>57</v>
      </c>
      <c r="I58" s="79">
        <f>H58*G58</f>
        <v>1197</v>
      </c>
      <c r="J58" s="4">
        <v>12</v>
      </c>
    </row>
    <row r="59" spans="2:10" ht="28.8" x14ac:dyDescent="0.3">
      <c r="B59" s="2" t="s">
        <v>103</v>
      </c>
      <c r="C59" s="80" t="s">
        <v>86</v>
      </c>
      <c r="D59" s="2" t="s">
        <v>104</v>
      </c>
      <c r="E59" s="83" t="s">
        <v>105</v>
      </c>
      <c r="F59" s="80" t="s">
        <v>273</v>
      </c>
      <c r="G59" s="4">
        <v>110</v>
      </c>
      <c r="H59" s="79">
        <v>57</v>
      </c>
      <c r="I59" s="79">
        <f>H59*G59</f>
        <v>6270</v>
      </c>
      <c r="J59" s="4">
        <v>4</v>
      </c>
    </row>
    <row r="60" spans="2:10" ht="28.8" x14ac:dyDescent="0.3">
      <c r="B60" s="2" t="s">
        <v>103</v>
      </c>
      <c r="C60" s="80" t="s">
        <v>86</v>
      </c>
      <c r="D60" s="2" t="s">
        <v>104</v>
      </c>
      <c r="E60" s="83" t="s">
        <v>105</v>
      </c>
      <c r="F60" s="80" t="s">
        <v>274</v>
      </c>
      <c r="G60" s="81"/>
      <c r="H60" s="79">
        <v>57</v>
      </c>
      <c r="I60" s="79">
        <f>H60*G60</f>
        <v>0</v>
      </c>
      <c r="J60" s="4">
        <v>1</v>
      </c>
    </row>
    <row r="61" spans="2:10" ht="28.8" x14ac:dyDescent="0.3">
      <c r="B61" s="2" t="s">
        <v>103</v>
      </c>
      <c r="C61" s="80" t="s">
        <v>86</v>
      </c>
      <c r="D61" s="2" t="s">
        <v>104</v>
      </c>
      <c r="E61" s="83" t="s">
        <v>105</v>
      </c>
      <c r="F61" s="80" t="s">
        <v>275</v>
      </c>
      <c r="G61" s="81"/>
      <c r="H61" s="79">
        <v>57</v>
      </c>
      <c r="I61" s="79">
        <f>H61*G61</f>
        <v>0</v>
      </c>
      <c r="J61" s="4">
        <v>1</v>
      </c>
    </row>
    <row r="62" spans="2:10" ht="28.8" x14ac:dyDescent="0.3">
      <c r="B62" s="2" t="s">
        <v>277</v>
      </c>
      <c r="C62" s="2" t="s">
        <v>271</v>
      </c>
      <c r="D62" s="2" t="s">
        <v>284</v>
      </c>
      <c r="E62" s="83" t="s">
        <v>276</v>
      </c>
      <c r="F62" s="2" t="s">
        <v>35</v>
      </c>
      <c r="G62" s="4">
        <v>128</v>
      </c>
      <c r="H62" s="5">
        <v>67</v>
      </c>
      <c r="I62" s="5">
        <f>H62*G62</f>
        <v>8576</v>
      </c>
      <c r="J62" s="4">
        <v>1</v>
      </c>
    </row>
    <row r="63" spans="2:10" ht="28.8" x14ac:dyDescent="0.3">
      <c r="B63" s="2" t="s">
        <v>278</v>
      </c>
      <c r="C63" s="2" t="s">
        <v>271</v>
      </c>
      <c r="D63" s="2" t="s">
        <v>284</v>
      </c>
      <c r="E63" s="83" t="s">
        <v>276</v>
      </c>
      <c r="F63" s="2" t="s">
        <v>35</v>
      </c>
      <c r="G63" s="4">
        <v>128</v>
      </c>
      <c r="H63" s="5">
        <v>67</v>
      </c>
      <c r="I63" s="5">
        <f>H63*G63</f>
        <v>8576</v>
      </c>
      <c r="J63" s="4">
        <v>1</v>
      </c>
    </row>
    <row r="64" spans="2:10" ht="28.8" x14ac:dyDescent="0.3">
      <c r="B64" s="2" t="s">
        <v>279</v>
      </c>
      <c r="C64" s="2" t="s">
        <v>271</v>
      </c>
      <c r="D64" s="2" t="s">
        <v>284</v>
      </c>
      <c r="E64" s="83" t="s">
        <v>276</v>
      </c>
      <c r="F64" s="2" t="s">
        <v>35</v>
      </c>
      <c r="G64" s="4">
        <v>117</v>
      </c>
      <c r="H64" s="5">
        <v>67</v>
      </c>
      <c r="I64" s="5">
        <f>H64*G64</f>
        <v>7839</v>
      </c>
      <c r="J64" s="4">
        <v>1</v>
      </c>
    </row>
    <row r="65" spans="2:10" ht="28.8" x14ac:dyDescent="0.3">
      <c r="B65" s="2" t="s">
        <v>280</v>
      </c>
      <c r="C65" s="2" t="s">
        <v>271</v>
      </c>
      <c r="D65" s="2" t="s">
        <v>284</v>
      </c>
      <c r="E65" s="83" t="s">
        <v>276</v>
      </c>
      <c r="F65" s="2" t="s">
        <v>35</v>
      </c>
      <c r="G65" s="4">
        <v>117</v>
      </c>
      <c r="H65" s="5">
        <v>67</v>
      </c>
      <c r="I65" s="5">
        <f>H65*G65</f>
        <v>7839</v>
      </c>
      <c r="J65" s="4">
        <v>1</v>
      </c>
    </row>
    <row r="66" spans="2:10" ht="28.8" x14ac:dyDescent="0.3">
      <c r="B66" s="2" t="s">
        <v>281</v>
      </c>
      <c r="C66" s="2" t="s">
        <v>271</v>
      </c>
      <c r="D66" s="2" t="s">
        <v>284</v>
      </c>
      <c r="E66" s="83" t="s">
        <v>276</v>
      </c>
      <c r="F66" s="2" t="s">
        <v>35</v>
      </c>
      <c r="G66" s="4">
        <v>150</v>
      </c>
      <c r="H66" s="5">
        <v>67</v>
      </c>
      <c r="I66" s="5">
        <f>H66*G66</f>
        <v>10050</v>
      </c>
      <c r="J66" s="4">
        <v>1</v>
      </c>
    </row>
    <row r="67" spans="2:10" ht="28.8" x14ac:dyDescent="0.3">
      <c r="B67" s="2" t="s">
        <v>282</v>
      </c>
      <c r="C67" s="2" t="s">
        <v>271</v>
      </c>
      <c r="D67" s="2" t="s">
        <v>284</v>
      </c>
      <c r="E67" s="83" t="s">
        <v>276</v>
      </c>
      <c r="F67" s="2" t="s">
        <v>35</v>
      </c>
      <c r="G67" s="4">
        <v>30</v>
      </c>
      <c r="H67" s="5">
        <v>67</v>
      </c>
      <c r="I67" s="5">
        <f>H67*G67</f>
        <v>2010</v>
      </c>
      <c r="J67" s="4">
        <v>1</v>
      </c>
    </row>
    <row r="68" spans="2:10" ht="28.8" x14ac:dyDescent="0.3">
      <c r="B68" s="2" t="s">
        <v>283</v>
      </c>
      <c r="C68" s="2" t="s">
        <v>271</v>
      </c>
      <c r="D68" s="2" t="s">
        <v>284</v>
      </c>
      <c r="E68" s="83" t="s">
        <v>276</v>
      </c>
      <c r="F68" s="2" t="s">
        <v>17</v>
      </c>
      <c r="G68" s="4">
        <v>30</v>
      </c>
      <c r="H68" s="5">
        <v>57</v>
      </c>
      <c r="I68" s="5">
        <f>H68*G68</f>
        <v>1710</v>
      </c>
      <c r="J68" s="4">
        <v>1</v>
      </c>
    </row>
    <row r="69" spans="2:10" ht="28.8" x14ac:dyDescent="0.3">
      <c r="B69" s="2" t="s">
        <v>283</v>
      </c>
      <c r="C69" s="2" t="s">
        <v>271</v>
      </c>
      <c r="D69" s="2" t="s">
        <v>284</v>
      </c>
      <c r="E69" s="83" t="s">
        <v>276</v>
      </c>
      <c r="F69" s="2" t="s">
        <v>42</v>
      </c>
      <c r="G69" s="4">
        <v>30</v>
      </c>
      <c r="H69" s="5">
        <v>57</v>
      </c>
      <c r="I69" s="5">
        <f>H69*G69</f>
        <v>1710</v>
      </c>
      <c r="J69" s="4">
        <v>1</v>
      </c>
    </row>
    <row r="70" spans="2:10" ht="28.8" x14ac:dyDescent="0.3">
      <c r="B70" s="2" t="s">
        <v>106</v>
      </c>
      <c r="C70" s="80" t="s">
        <v>117</v>
      </c>
      <c r="D70" s="2" t="s">
        <v>107</v>
      </c>
      <c r="E70" s="83" t="s">
        <v>276</v>
      </c>
      <c r="F70" s="2" t="s">
        <v>285</v>
      </c>
      <c r="G70" s="81"/>
      <c r="H70" s="79">
        <v>57</v>
      </c>
      <c r="I70" s="5">
        <f>H70*G70</f>
        <v>0</v>
      </c>
      <c r="J70" s="4">
        <v>8</v>
      </c>
    </row>
    <row r="71" spans="2:10" ht="28.8" x14ac:dyDescent="0.3">
      <c r="B71" s="2" t="s">
        <v>106</v>
      </c>
      <c r="C71" s="80" t="s">
        <v>117</v>
      </c>
      <c r="D71" s="2" t="s">
        <v>290</v>
      </c>
      <c r="E71" s="83" t="s">
        <v>276</v>
      </c>
      <c r="F71" s="2" t="s">
        <v>286</v>
      </c>
      <c r="G71" s="81"/>
      <c r="H71" s="79">
        <v>57</v>
      </c>
      <c r="I71" s="5">
        <f>H71*G71</f>
        <v>0</v>
      </c>
      <c r="J71" s="4">
        <v>8</v>
      </c>
    </row>
    <row r="72" spans="2:10" ht="28.8" x14ac:dyDescent="0.3">
      <c r="B72" s="2" t="s">
        <v>106</v>
      </c>
      <c r="C72" s="80" t="s">
        <v>117</v>
      </c>
      <c r="D72" s="2" t="s">
        <v>291</v>
      </c>
      <c r="E72" s="83" t="s">
        <v>276</v>
      </c>
      <c r="F72" s="2" t="s">
        <v>287</v>
      </c>
      <c r="G72" s="81"/>
      <c r="H72" s="79">
        <v>57</v>
      </c>
      <c r="I72" s="5">
        <f>H72*G72</f>
        <v>0</v>
      </c>
      <c r="J72" s="4">
        <v>1</v>
      </c>
    </row>
    <row r="73" spans="2:10" ht="28.8" x14ac:dyDescent="0.3">
      <c r="B73" s="2" t="s">
        <v>106</v>
      </c>
      <c r="C73" s="80" t="s">
        <v>117</v>
      </c>
      <c r="D73" s="2" t="s">
        <v>292</v>
      </c>
      <c r="E73" s="83" t="s">
        <v>276</v>
      </c>
      <c r="F73" s="2" t="s">
        <v>288</v>
      </c>
      <c r="G73" s="81"/>
      <c r="H73" s="79">
        <v>57</v>
      </c>
      <c r="I73" s="5">
        <f>H73*G73</f>
        <v>0</v>
      </c>
      <c r="J73" s="4">
        <v>1</v>
      </c>
    </row>
    <row r="74" spans="2:10" ht="28.8" x14ac:dyDescent="0.3">
      <c r="B74" s="2" t="s">
        <v>106</v>
      </c>
      <c r="C74" s="80" t="s">
        <v>117</v>
      </c>
      <c r="D74" s="2" t="s">
        <v>293</v>
      </c>
      <c r="E74" s="83" t="s">
        <v>276</v>
      </c>
      <c r="F74" s="2" t="s">
        <v>274</v>
      </c>
      <c r="G74" s="81"/>
      <c r="H74" s="79">
        <v>57</v>
      </c>
      <c r="I74" s="5">
        <f>H74*G74</f>
        <v>0</v>
      </c>
      <c r="J74" s="4">
        <v>1</v>
      </c>
    </row>
    <row r="75" spans="2:10" ht="28.8" x14ac:dyDescent="0.3">
      <c r="B75" s="2" t="s">
        <v>106</v>
      </c>
      <c r="C75" s="80" t="s">
        <v>117</v>
      </c>
      <c r="D75" s="2" t="s">
        <v>294</v>
      </c>
      <c r="E75" s="83" t="s">
        <v>276</v>
      </c>
      <c r="F75" s="2" t="s">
        <v>289</v>
      </c>
      <c r="G75" s="81"/>
      <c r="H75" s="79">
        <v>57</v>
      </c>
      <c r="I75" s="5">
        <f>H75*G75</f>
        <v>0</v>
      </c>
      <c r="J75" s="4">
        <v>1</v>
      </c>
    </row>
    <row r="76" spans="2:10" x14ac:dyDescent="0.3">
      <c r="B76" s="2" t="s">
        <v>295</v>
      </c>
      <c r="C76" s="2" t="s">
        <v>24</v>
      </c>
      <c r="D76" s="2" t="s">
        <v>108</v>
      </c>
      <c r="E76" s="83" t="s">
        <v>120</v>
      </c>
      <c r="F76" s="83" t="s">
        <v>109</v>
      </c>
      <c r="G76" s="81"/>
      <c r="H76" s="81"/>
      <c r="I76" s="5">
        <f>H76*G76</f>
        <v>0</v>
      </c>
      <c r="J76" s="4"/>
    </row>
    <row r="77" spans="2:10" x14ac:dyDescent="0.3">
      <c r="B77" s="2" t="s">
        <v>296</v>
      </c>
      <c r="C77" s="2" t="s">
        <v>43</v>
      </c>
      <c r="D77" s="2" t="s">
        <v>110</v>
      </c>
      <c r="E77" s="83" t="s">
        <v>120</v>
      </c>
      <c r="F77" s="83" t="s">
        <v>111</v>
      </c>
      <c r="G77" s="81"/>
      <c r="H77" s="81"/>
      <c r="I77" s="5">
        <f>H77*G77</f>
        <v>0</v>
      </c>
      <c r="J77" s="4"/>
    </row>
    <row r="78" spans="2:10" x14ac:dyDescent="0.3">
      <c r="B78" s="2" t="s">
        <v>297</v>
      </c>
      <c r="C78" s="2" t="s">
        <v>25</v>
      </c>
      <c r="D78" s="2" t="s">
        <v>112</v>
      </c>
      <c r="E78" s="83" t="s">
        <v>120</v>
      </c>
      <c r="F78" s="83" t="s">
        <v>113</v>
      </c>
      <c r="G78" s="81"/>
      <c r="H78" s="81"/>
      <c r="I78" s="5">
        <f>H78*G78</f>
        <v>0</v>
      </c>
      <c r="J78" s="4"/>
    </row>
    <row r="79" spans="2:10" x14ac:dyDescent="0.3">
      <c r="B79" s="2" t="s">
        <v>298</v>
      </c>
      <c r="C79" s="2" t="s">
        <v>114</v>
      </c>
      <c r="D79" s="2" t="s">
        <v>115</v>
      </c>
      <c r="E79" s="83" t="s">
        <v>120</v>
      </c>
      <c r="F79" s="83" t="s">
        <v>116</v>
      </c>
      <c r="G79" s="81"/>
      <c r="H79" s="81"/>
      <c r="I79" s="5">
        <f>H79*G79</f>
        <v>0</v>
      </c>
      <c r="J79" s="4"/>
    </row>
    <row r="80" spans="2:10" ht="28.8" x14ac:dyDescent="0.3">
      <c r="B80" s="2" t="s">
        <v>299</v>
      </c>
      <c r="C80" s="2" t="s">
        <v>117</v>
      </c>
      <c r="D80" s="2" t="s">
        <v>118</v>
      </c>
      <c r="E80" s="83" t="s">
        <v>120</v>
      </c>
      <c r="F80" s="83" t="s">
        <v>119</v>
      </c>
      <c r="G80" s="81"/>
      <c r="H80" s="81"/>
      <c r="I80" s="5">
        <f>H80*G80</f>
        <v>0</v>
      </c>
      <c r="J80" s="4"/>
    </row>
    <row r="81" spans="2:11" ht="28.8" x14ac:dyDescent="0.3">
      <c r="B81" s="2" t="s">
        <v>121</v>
      </c>
      <c r="C81" s="2" t="s">
        <v>122</v>
      </c>
      <c r="D81" s="2"/>
      <c r="E81" s="80" t="s">
        <v>124</v>
      </c>
      <c r="F81" s="81" t="s">
        <v>300</v>
      </c>
      <c r="G81" s="84">
        <v>20000</v>
      </c>
      <c r="H81" s="5">
        <v>0.7</v>
      </c>
      <c r="I81" s="5">
        <f>H81*G81</f>
        <v>14000</v>
      </c>
      <c r="J81" s="4">
        <v>20</v>
      </c>
      <c r="K81" s="82"/>
    </row>
    <row r="82" spans="2:11" ht="28.8" x14ac:dyDescent="0.3">
      <c r="B82" s="2" t="s">
        <v>121</v>
      </c>
      <c r="C82" s="2" t="s">
        <v>122</v>
      </c>
      <c r="D82" s="2"/>
      <c r="E82" s="80" t="s">
        <v>124</v>
      </c>
      <c r="F82" s="81" t="s">
        <v>301</v>
      </c>
      <c r="G82" s="4">
        <v>50</v>
      </c>
      <c r="H82" s="5">
        <v>0.7</v>
      </c>
      <c r="I82" s="5">
        <f>H82*G82</f>
        <v>35</v>
      </c>
      <c r="J82" s="4">
        <v>4</v>
      </c>
    </row>
    <row r="83" spans="2:11" ht="28.8" x14ac:dyDescent="0.3">
      <c r="B83" s="2" t="s">
        <v>123</v>
      </c>
      <c r="C83" s="2" t="s">
        <v>114</v>
      </c>
      <c r="D83" s="2"/>
      <c r="E83" s="80" t="s">
        <v>124</v>
      </c>
      <c r="F83" s="81" t="s">
        <v>300</v>
      </c>
      <c r="G83" s="84">
        <v>20000</v>
      </c>
      <c r="H83" s="5">
        <v>0.7</v>
      </c>
      <c r="I83" s="5">
        <f>H83*G83</f>
        <v>14000</v>
      </c>
      <c r="J83" s="4">
        <v>35</v>
      </c>
    </row>
    <row r="84" spans="2:11" ht="28.8" x14ac:dyDescent="0.3">
      <c r="B84" s="2" t="s">
        <v>123</v>
      </c>
      <c r="C84" s="2" t="s">
        <v>114</v>
      </c>
      <c r="D84" s="2"/>
      <c r="E84" s="80" t="s">
        <v>124</v>
      </c>
      <c r="F84" s="81" t="s">
        <v>302</v>
      </c>
      <c r="G84" s="84">
        <v>3150000</v>
      </c>
      <c r="H84" s="5">
        <v>0.7</v>
      </c>
      <c r="I84" s="5">
        <f>H84*G84</f>
        <v>2205000</v>
      </c>
      <c r="J84" s="4">
        <v>1</v>
      </c>
    </row>
    <row r="85" spans="2:11" ht="28.8" x14ac:dyDescent="0.3">
      <c r="B85" s="2" t="s">
        <v>123</v>
      </c>
      <c r="C85" s="2" t="s">
        <v>114</v>
      </c>
      <c r="D85" s="2"/>
      <c r="E85" s="80" t="s">
        <v>124</v>
      </c>
      <c r="F85" s="81" t="s">
        <v>301</v>
      </c>
      <c r="G85" s="85">
        <v>50</v>
      </c>
      <c r="H85" s="5">
        <v>0.7</v>
      </c>
      <c r="I85" s="5">
        <f>H85*G85</f>
        <v>35</v>
      </c>
      <c r="J85" s="4">
        <v>4</v>
      </c>
    </row>
    <row r="86" spans="2:11" ht="28.8" x14ac:dyDescent="0.3">
      <c r="B86" s="2" t="s">
        <v>123</v>
      </c>
      <c r="C86" s="2" t="s">
        <v>114</v>
      </c>
      <c r="D86" s="2"/>
      <c r="E86" s="80" t="s">
        <v>124</v>
      </c>
      <c r="F86" s="81" t="s">
        <v>303</v>
      </c>
      <c r="G86" s="85">
        <v>1858</v>
      </c>
      <c r="H86" s="5">
        <v>0.7</v>
      </c>
      <c r="I86" s="5">
        <f>H86*G86</f>
        <v>1300.5999999999999</v>
      </c>
      <c r="J86" s="4">
        <v>4</v>
      </c>
    </row>
    <row r="87" spans="2:11" ht="28.8" x14ac:dyDescent="0.3">
      <c r="B87" s="2" t="s">
        <v>123</v>
      </c>
      <c r="C87" s="2" t="s">
        <v>114</v>
      </c>
      <c r="D87" s="2"/>
      <c r="E87" s="80" t="s">
        <v>124</v>
      </c>
      <c r="F87" s="81" t="s">
        <v>304</v>
      </c>
      <c r="G87" s="85">
        <v>1500</v>
      </c>
      <c r="H87" s="5">
        <v>0.7</v>
      </c>
      <c r="I87" s="5">
        <f>H87*G87</f>
        <v>1050</v>
      </c>
      <c r="J87" s="4">
        <v>1</v>
      </c>
    </row>
    <row r="88" spans="2:11" ht="28.8" x14ac:dyDescent="0.3">
      <c r="B88" s="2" t="s">
        <v>123</v>
      </c>
      <c r="C88" s="2" t="s">
        <v>114</v>
      </c>
      <c r="D88" s="2"/>
      <c r="E88" s="80" t="s">
        <v>124</v>
      </c>
      <c r="F88" s="81" t="s">
        <v>272</v>
      </c>
      <c r="G88" s="85">
        <v>40</v>
      </c>
      <c r="H88" s="5">
        <v>0.7</v>
      </c>
      <c r="I88" s="5">
        <f>H88*G88</f>
        <v>28</v>
      </c>
      <c r="J88" s="4">
        <v>1</v>
      </c>
    </row>
    <row r="89" spans="2:11" ht="28.8" x14ac:dyDescent="0.3">
      <c r="B89" s="2" t="s">
        <v>6</v>
      </c>
      <c r="C89" s="2" t="s">
        <v>32</v>
      </c>
      <c r="D89" s="92"/>
      <c r="E89" s="2" t="s">
        <v>34</v>
      </c>
      <c r="F89" s="83" t="s">
        <v>300</v>
      </c>
      <c r="G89" s="84">
        <v>4300</v>
      </c>
      <c r="H89" s="5">
        <v>0.7</v>
      </c>
      <c r="I89" s="5">
        <f>H89*G89</f>
        <v>3010</v>
      </c>
      <c r="J89" s="4">
        <v>1</v>
      </c>
    </row>
    <row r="90" spans="2:11" ht="28.8" x14ac:dyDescent="0.3">
      <c r="B90" s="2" t="s">
        <v>6</v>
      </c>
      <c r="C90" s="2" t="s">
        <v>32</v>
      </c>
      <c r="D90" s="92"/>
      <c r="E90" s="2" t="s">
        <v>34</v>
      </c>
      <c r="F90" s="83" t="s">
        <v>300</v>
      </c>
      <c r="G90" s="84">
        <v>4840</v>
      </c>
      <c r="H90" s="5">
        <v>0.7</v>
      </c>
      <c r="I90" s="5">
        <f>H90*G90</f>
        <v>3388</v>
      </c>
      <c r="J90" s="4">
        <v>1</v>
      </c>
    </row>
    <row r="91" spans="2:11" ht="28.8" x14ac:dyDescent="0.3">
      <c r="B91" s="2" t="s">
        <v>6</v>
      </c>
      <c r="C91" s="2" t="s">
        <v>32</v>
      </c>
      <c r="D91" s="92"/>
      <c r="E91" s="2" t="s">
        <v>34</v>
      </c>
      <c r="F91" s="83" t="s">
        <v>300</v>
      </c>
      <c r="G91" s="84">
        <v>4100</v>
      </c>
      <c r="H91" s="5">
        <v>0.7</v>
      </c>
      <c r="I91" s="5">
        <f>H91*G91</f>
        <v>2870</v>
      </c>
      <c r="J91" s="4">
        <v>1</v>
      </c>
    </row>
    <row r="92" spans="2:11" ht="28.8" x14ac:dyDescent="0.3">
      <c r="B92" s="2" t="s">
        <v>6</v>
      </c>
      <c r="C92" s="2" t="s">
        <v>32</v>
      </c>
      <c r="D92" s="92"/>
      <c r="E92" s="2" t="s">
        <v>34</v>
      </c>
      <c r="F92" s="83" t="s">
        <v>300</v>
      </c>
      <c r="G92" s="84">
        <v>3100</v>
      </c>
      <c r="H92" s="5">
        <v>0.7</v>
      </c>
      <c r="I92" s="5">
        <f>H92*G92</f>
        <v>2170</v>
      </c>
      <c r="J92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149C-3D89-4745-AF74-E2D17D309353}">
  <dimension ref="B2:B15"/>
  <sheetViews>
    <sheetView workbookViewId="0">
      <selection activeCell="E9" sqref="E9"/>
    </sheetView>
  </sheetViews>
  <sheetFormatPr defaultRowHeight="14.4" x14ac:dyDescent="0.3"/>
  <cols>
    <col min="2" max="2" width="98" customWidth="1"/>
  </cols>
  <sheetData>
    <row r="2" spans="2:2" x14ac:dyDescent="0.3">
      <c r="B2" t="s">
        <v>201</v>
      </c>
    </row>
    <row r="4" spans="2:2" ht="30" x14ac:dyDescent="0.3">
      <c r="B4" s="87" t="s">
        <v>189</v>
      </c>
    </row>
    <row r="5" spans="2:2" ht="15" x14ac:dyDescent="0.3">
      <c r="B5" s="87" t="s">
        <v>190</v>
      </c>
    </row>
    <row r="6" spans="2:2" ht="30" x14ac:dyDescent="0.3">
      <c r="B6" s="87" t="s">
        <v>191</v>
      </c>
    </row>
    <row r="7" spans="2:2" ht="15" x14ac:dyDescent="0.3">
      <c r="B7" s="87" t="s">
        <v>192</v>
      </c>
    </row>
    <row r="8" spans="2:2" ht="15" x14ac:dyDescent="0.3">
      <c r="B8" s="87" t="s">
        <v>193</v>
      </c>
    </row>
    <row r="9" spans="2:2" ht="15" x14ac:dyDescent="0.3">
      <c r="B9" s="87" t="s">
        <v>194</v>
      </c>
    </row>
    <row r="10" spans="2:2" ht="15" x14ac:dyDescent="0.3">
      <c r="B10" s="87" t="s">
        <v>195</v>
      </c>
    </row>
    <row r="11" spans="2:2" ht="15" x14ac:dyDescent="0.3">
      <c r="B11" s="87" t="s">
        <v>196</v>
      </c>
    </row>
    <row r="12" spans="2:2" ht="15" x14ac:dyDescent="0.3">
      <c r="B12" s="87" t="s">
        <v>197</v>
      </c>
    </row>
    <row r="13" spans="2:2" ht="15" x14ac:dyDescent="0.3">
      <c r="B13" s="87" t="s">
        <v>198</v>
      </c>
    </row>
    <row r="14" spans="2:2" ht="15" x14ac:dyDescent="0.3">
      <c r="B14" s="87" t="s">
        <v>199</v>
      </c>
    </row>
    <row r="15" spans="2:2" ht="30" x14ac:dyDescent="0.3">
      <c r="B15" s="87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BAFE-1889-4714-A0CE-699EA55EE7CB}">
  <dimension ref="B1:F52"/>
  <sheetViews>
    <sheetView workbookViewId="0">
      <selection activeCell="I9" sqref="I9"/>
    </sheetView>
  </sheetViews>
  <sheetFormatPr defaultRowHeight="14.4" x14ac:dyDescent="0.3"/>
  <cols>
    <col min="2" max="2" width="23.44140625" customWidth="1"/>
    <col min="3" max="3" width="20.6640625" customWidth="1"/>
    <col min="4" max="4" width="47.88671875" customWidth="1"/>
  </cols>
  <sheetData>
    <row r="1" spans="2:6" ht="15" thickBot="1" x14ac:dyDescent="0.35"/>
    <row r="2" spans="2:6" ht="15" customHeight="1" thickBot="1" x14ac:dyDescent="0.35">
      <c r="B2" s="89" t="s">
        <v>125</v>
      </c>
      <c r="C2" s="90"/>
      <c r="D2" s="90"/>
      <c r="E2" s="90"/>
      <c r="F2" s="91"/>
    </row>
    <row r="3" spans="2:6" ht="28.2" thickBot="1" x14ac:dyDescent="0.35">
      <c r="B3" s="30"/>
      <c r="C3" s="29" t="s">
        <v>127</v>
      </c>
      <c r="D3" s="29" t="s">
        <v>128</v>
      </c>
      <c r="E3" s="88" t="s">
        <v>126</v>
      </c>
      <c r="F3" s="29" t="s">
        <v>307</v>
      </c>
    </row>
    <row r="4" spans="2:6" ht="27.6" x14ac:dyDescent="0.3">
      <c r="B4" s="45">
        <v>1</v>
      </c>
      <c r="C4" s="47" t="s">
        <v>130</v>
      </c>
      <c r="D4" s="32" t="s">
        <v>131</v>
      </c>
      <c r="E4" s="50">
        <v>15</v>
      </c>
      <c r="F4" s="50">
        <v>13</v>
      </c>
    </row>
    <row r="5" spans="2:6" x14ac:dyDescent="0.3">
      <c r="B5" s="44"/>
      <c r="C5" s="48"/>
      <c r="D5" s="33" t="s">
        <v>132</v>
      </c>
      <c r="E5" s="51"/>
      <c r="F5" s="51"/>
    </row>
    <row r="6" spans="2:6" x14ac:dyDescent="0.3">
      <c r="B6" s="44"/>
      <c r="C6" s="48"/>
      <c r="D6" s="33" t="s">
        <v>133</v>
      </c>
      <c r="E6" s="51"/>
      <c r="F6" s="51"/>
    </row>
    <row r="7" spans="2:6" x14ac:dyDescent="0.3">
      <c r="B7" s="44"/>
      <c r="C7" s="48"/>
      <c r="D7" s="33" t="s">
        <v>134</v>
      </c>
      <c r="E7" s="51"/>
      <c r="F7" s="51"/>
    </row>
    <row r="8" spans="2:6" x14ac:dyDescent="0.3">
      <c r="B8" s="44"/>
      <c r="C8" s="48"/>
      <c r="D8" s="33" t="s">
        <v>135</v>
      </c>
      <c r="E8" s="51"/>
      <c r="F8" s="51"/>
    </row>
    <row r="9" spans="2:6" ht="69.599999999999994" thickBot="1" x14ac:dyDescent="0.35">
      <c r="B9" s="46"/>
      <c r="C9" s="49"/>
      <c r="D9" s="34" t="s">
        <v>136</v>
      </c>
      <c r="E9" s="52"/>
      <c r="F9" s="52"/>
    </row>
    <row r="10" spans="2:6" x14ac:dyDescent="0.3">
      <c r="B10" s="47" t="s">
        <v>49</v>
      </c>
      <c r="C10" s="47" t="s">
        <v>137</v>
      </c>
      <c r="D10" s="35" t="s">
        <v>138</v>
      </c>
      <c r="E10" s="50">
        <v>20</v>
      </c>
      <c r="F10" s="50">
        <v>17</v>
      </c>
    </row>
    <row r="11" spans="2:6" x14ac:dyDescent="0.3">
      <c r="B11" s="48"/>
      <c r="C11" s="48"/>
      <c r="D11" s="36" t="s">
        <v>139</v>
      </c>
      <c r="E11" s="51"/>
      <c r="F11" s="51"/>
    </row>
    <row r="12" spans="2:6" x14ac:dyDescent="0.3">
      <c r="B12" s="48"/>
      <c r="C12" s="48"/>
      <c r="D12" s="36" t="s">
        <v>140</v>
      </c>
      <c r="E12" s="51"/>
      <c r="F12" s="51"/>
    </row>
    <row r="13" spans="2:6" x14ac:dyDescent="0.3">
      <c r="B13" s="48"/>
      <c r="C13" s="48"/>
      <c r="D13" s="36" t="s">
        <v>141</v>
      </c>
      <c r="E13" s="51"/>
      <c r="F13" s="51"/>
    </row>
    <row r="14" spans="2:6" x14ac:dyDescent="0.3">
      <c r="B14" s="48"/>
      <c r="C14" s="48"/>
      <c r="D14" s="36" t="s">
        <v>142</v>
      </c>
      <c r="E14" s="51"/>
      <c r="F14" s="51"/>
    </row>
    <row r="15" spans="2:6" x14ac:dyDescent="0.3">
      <c r="B15" s="48"/>
      <c r="C15" s="48"/>
      <c r="D15" s="37" t="s">
        <v>143</v>
      </c>
      <c r="E15" s="51"/>
      <c r="F15" s="51"/>
    </row>
    <row r="16" spans="2:6" ht="42" thickBot="1" x14ac:dyDescent="0.35">
      <c r="B16" s="49"/>
      <c r="C16" s="49"/>
      <c r="D16" s="38" t="s">
        <v>144</v>
      </c>
      <c r="E16" s="52"/>
      <c r="F16" s="52"/>
    </row>
    <row r="17" spans="2:6" x14ac:dyDescent="0.3">
      <c r="B17" s="47">
        <v>3</v>
      </c>
      <c r="C17" s="47" t="s">
        <v>145</v>
      </c>
      <c r="D17" s="31" t="s">
        <v>146</v>
      </c>
      <c r="E17" s="50">
        <v>25</v>
      </c>
      <c r="F17" s="50">
        <v>20</v>
      </c>
    </row>
    <row r="18" spans="2:6" x14ac:dyDescent="0.3">
      <c r="B18" s="48"/>
      <c r="C18" s="48"/>
      <c r="D18" s="39" t="s">
        <v>147</v>
      </c>
      <c r="E18" s="51"/>
      <c r="F18" s="51"/>
    </row>
    <row r="19" spans="2:6" ht="27.6" x14ac:dyDescent="0.3">
      <c r="B19" s="48"/>
      <c r="C19" s="48"/>
      <c r="D19" s="33" t="s">
        <v>148</v>
      </c>
      <c r="E19" s="51"/>
      <c r="F19" s="51"/>
    </row>
    <row r="20" spans="2:6" x14ac:dyDescent="0.3">
      <c r="B20" s="48"/>
      <c r="C20" s="48"/>
      <c r="D20" s="33" t="s">
        <v>149</v>
      </c>
      <c r="E20" s="51"/>
      <c r="F20" s="51"/>
    </row>
    <row r="21" spans="2:6" x14ac:dyDescent="0.3">
      <c r="B21" s="48"/>
      <c r="C21" s="48"/>
      <c r="D21" s="39" t="s">
        <v>150</v>
      </c>
      <c r="E21" s="51"/>
      <c r="F21" s="51"/>
    </row>
    <row r="22" spans="2:6" x14ac:dyDescent="0.3">
      <c r="B22" s="48"/>
      <c r="C22" s="48"/>
      <c r="D22" s="33" t="s">
        <v>151</v>
      </c>
      <c r="E22" s="51"/>
      <c r="F22" s="51"/>
    </row>
    <row r="23" spans="2:6" x14ac:dyDescent="0.3">
      <c r="B23" s="48"/>
      <c r="C23" s="48"/>
      <c r="D23" s="33" t="s">
        <v>152</v>
      </c>
      <c r="E23" s="51"/>
      <c r="F23" s="51"/>
    </row>
    <row r="24" spans="2:6" x14ac:dyDescent="0.3">
      <c r="B24" s="48"/>
      <c r="C24" s="48"/>
      <c r="D24" s="39" t="s">
        <v>153</v>
      </c>
      <c r="E24" s="51"/>
      <c r="F24" s="51"/>
    </row>
    <row r="25" spans="2:6" x14ac:dyDescent="0.3">
      <c r="B25" s="48"/>
      <c r="C25" s="48"/>
      <c r="D25" s="33" t="s">
        <v>154</v>
      </c>
      <c r="E25" s="51"/>
      <c r="F25" s="51"/>
    </row>
    <row r="26" spans="2:6" x14ac:dyDescent="0.3">
      <c r="B26" s="48"/>
      <c r="C26" s="48"/>
      <c r="D26" s="33" t="s">
        <v>155</v>
      </c>
      <c r="E26" s="51"/>
      <c r="F26" s="51"/>
    </row>
    <row r="27" spans="2:6" x14ac:dyDescent="0.3">
      <c r="B27" s="48"/>
      <c r="C27" s="48"/>
      <c r="D27" s="39" t="s">
        <v>156</v>
      </c>
      <c r="E27" s="51"/>
      <c r="F27" s="51"/>
    </row>
    <row r="28" spans="2:6" ht="27.6" x14ac:dyDescent="0.3">
      <c r="B28" s="48"/>
      <c r="C28" s="48"/>
      <c r="D28" s="33" t="s">
        <v>157</v>
      </c>
      <c r="E28" s="51"/>
      <c r="F28" s="51"/>
    </row>
    <row r="29" spans="2:6" ht="15" thickBot="1" x14ac:dyDescent="0.35">
      <c r="B29" s="49"/>
      <c r="C29" s="49"/>
      <c r="D29" s="40" t="s">
        <v>158</v>
      </c>
      <c r="E29" s="52"/>
      <c r="F29" s="52"/>
    </row>
    <row r="30" spans="2:6" ht="27.6" x14ac:dyDescent="0.3">
      <c r="B30" s="47" t="s">
        <v>159</v>
      </c>
      <c r="C30" s="31" t="s">
        <v>160</v>
      </c>
      <c r="D30" s="32" t="s">
        <v>163</v>
      </c>
      <c r="E30" s="50">
        <v>20</v>
      </c>
      <c r="F30" s="50">
        <v>17</v>
      </c>
    </row>
    <row r="31" spans="2:6" x14ac:dyDescent="0.3">
      <c r="B31" s="48"/>
      <c r="C31" s="31" t="s">
        <v>161</v>
      </c>
      <c r="D31" s="33" t="s">
        <v>164</v>
      </c>
      <c r="E31" s="51"/>
      <c r="F31" s="51"/>
    </row>
    <row r="32" spans="2:6" x14ac:dyDescent="0.3">
      <c r="B32" s="48"/>
      <c r="C32" s="31" t="s">
        <v>162</v>
      </c>
      <c r="D32" s="33" t="s">
        <v>165</v>
      </c>
      <c r="E32" s="51"/>
      <c r="F32" s="51"/>
    </row>
    <row r="33" spans="2:6" x14ac:dyDescent="0.3">
      <c r="B33" s="48"/>
      <c r="C33" s="41" t="s">
        <v>129</v>
      </c>
      <c r="D33" s="33" t="s">
        <v>166</v>
      </c>
      <c r="E33" s="51"/>
      <c r="F33" s="51"/>
    </row>
    <row r="34" spans="2:6" x14ac:dyDescent="0.3">
      <c r="B34" s="48"/>
      <c r="C34" s="24"/>
      <c r="D34" s="33" t="s">
        <v>167</v>
      </c>
      <c r="E34" s="51"/>
      <c r="F34" s="51"/>
    </row>
    <row r="35" spans="2:6" ht="42" thickBot="1" x14ac:dyDescent="0.35">
      <c r="B35" s="49"/>
      <c r="C35" s="25"/>
      <c r="D35" s="34" t="s">
        <v>168</v>
      </c>
      <c r="E35" s="52"/>
      <c r="F35" s="52"/>
    </row>
    <row r="36" spans="2:6" x14ac:dyDescent="0.3">
      <c r="B36" s="47" t="s">
        <v>169</v>
      </c>
      <c r="C36" s="31" t="s">
        <v>170</v>
      </c>
      <c r="D36" s="32" t="s">
        <v>172</v>
      </c>
      <c r="E36" s="50">
        <v>10</v>
      </c>
      <c r="F36" s="50" t="s">
        <v>177</v>
      </c>
    </row>
    <row r="37" spans="2:6" ht="27.6" x14ac:dyDescent="0.3">
      <c r="B37" s="48"/>
      <c r="C37" s="31" t="s">
        <v>171</v>
      </c>
      <c r="D37" s="33" t="s">
        <v>173</v>
      </c>
      <c r="E37" s="51"/>
      <c r="F37" s="51"/>
    </row>
    <row r="38" spans="2:6" ht="27.6" x14ac:dyDescent="0.3">
      <c r="B38" s="48"/>
      <c r="C38" s="24"/>
      <c r="D38" s="33" t="s">
        <v>174</v>
      </c>
      <c r="E38" s="51"/>
      <c r="F38" s="51"/>
    </row>
    <row r="39" spans="2:6" ht="27.6" x14ac:dyDescent="0.3">
      <c r="B39" s="48"/>
      <c r="C39" s="24"/>
      <c r="D39" s="33" t="s">
        <v>175</v>
      </c>
      <c r="E39" s="51"/>
      <c r="F39" s="51"/>
    </row>
    <row r="40" spans="2:6" ht="28.2" thickBot="1" x14ac:dyDescent="0.35">
      <c r="B40" s="49"/>
      <c r="C40" s="25"/>
      <c r="D40" s="34" t="s">
        <v>176</v>
      </c>
      <c r="E40" s="52"/>
      <c r="F40" s="52"/>
    </row>
    <row r="41" spans="2:6" x14ac:dyDescent="0.3">
      <c r="B41" s="47" t="s">
        <v>178</v>
      </c>
      <c r="C41" s="47" t="s">
        <v>179</v>
      </c>
      <c r="D41" s="33" t="s">
        <v>180</v>
      </c>
      <c r="E41" s="50">
        <v>10</v>
      </c>
      <c r="F41" s="50" t="s">
        <v>177</v>
      </c>
    </row>
    <row r="42" spans="2:6" x14ac:dyDescent="0.3">
      <c r="B42" s="48"/>
      <c r="C42" s="48"/>
      <c r="D42" s="33" t="s">
        <v>181</v>
      </c>
      <c r="E42" s="51"/>
      <c r="F42" s="51"/>
    </row>
    <row r="43" spans="2:6" x14ac:dyDescent="0.3">
      <c r="B43" s="48"/>
      <c r="C43" s="48"/>
      <c r="D43" s="33" t="s">
        <v>182</v>
      </c>
      <c r="E43" s="51"/>
      <c r="F43" s="51"/>
    </row>
    <row r="44" spans="2:6" x14ac:dyDescent="0.3">
      <c r="B44" s="48"/>
      <c r="C44" s="48"/>
      <c r="D44" s="39"/>
      <c r="E44" s="51"/>
      <c r="F44" s="51"/>
    </row>
    <row r="45" spans="2:6" ht="42" thickBot="1" x14ac:dyDescent="0.35">
      <c r="B45" s="49"/>
      <c r="C45" s="49"/>
      <c r="D45" s="42" t="s">
        <v>183</v>
      </c>
      <c r="E45" s="52"/>
      <c r="F45" s="52"/>
    </row>
    <row r="46" spans="2:6" ht="15" thickBot="1" x14ac:dyDescent="0.35">
      <c r="B46" s="53" t="s">
        <v>184</v>
      </c>
      <c r="C46" s="54"/>
      <c r="D46" s="55"/>
      <c r="E46" s="43">
        <v>100</v>
      </c>
      <c r="F46" s="43">
        <v>80</v>
      </c>
    </row>
    <row r="48" spans="2:6" ht="31.2" x14ac:dyDescent="0.3">
      <c r="B48" s="56" t="s">
        <v>185</v>
      </c>
    </row>
    <row r="49" spans="2:6" ht="15.6" x14ac:dyDescent="0.3">
      <c r="B49" s="56"/>
    </row>
    <row r="50" spans="2:6" ht="39" customHeight="1" x14ac:dyDescent="0.3">
      <c r="B50" s="86" t="s">
        <v>186</v>
      </c>
      <c r="C50" s="86"/>
      <c r="D50" s="86"/>
      <c r="E50" s="86"/>
      <c r="F50" s="86"/>
    </row>
    <row r="51" spans="2:6" ht="27.6" customHeight="1" x14ac:dyDescent="0.3">
      <c r="B51" s="86" t="s">
        <v>187</v>
      </c>
      <c r="C51" s="86"/>
      <c r="D51" s="86"/>
      <c r="E51" s="86"/>
      <c r="F51" s="86"/>
    </row>
    <row r="52" spans="2:6" ht="32.4" customHeight="1" x14ac:dyDescent="0.3">
      <c r="B52" s="86" t="s">
        <v>188</v>
      </c>
      <c r="C52" s="86"/>
      <c r="D52" s="86"/>
      <c r="E52" s="86"/>
      <c r="F52" s="86"/>
    </row>
  </sheetData>
  <mergeCells count="27">
    <mergeCell ref="B51:F51"/>
    <mergeCell ref="B52:F52"/>
    <mergeCell ref="B2:F2"/>
    <mergeCell ref="B41:B45"/>
    <mergeCell ref="C41:C45"/>
    <mergeCell ref="E41:E45"/>
    <mergeCell ref="F41:F45"/>
    <mergeCell ref="B46:D46"/>
    <mergeCell ref="B50:F50"/>
    <mergeCell ref="B30:B35"/>
    <mergeCell ref="E30:E35"/>
    <mergeCell ref="F30:F35"/>
    <mergeCell ref="B36:B40"/>
    <mergeCell ref="E36:E40"/>
    <mergeCell ref="F36:F40"/>
    <mergeCell ref="B10:B16"/>
    <mergeCell ref="C10:C16"/>
    <mergeCell ref="E10:E16"/>
    <mergeCell ref="F10:F16"/>
    <mergeCell ref="B17:B29"/>
    <mergeCell ref="C17:C29"/>
    <mergeCell ref="E17:E29"/>
    <mergeCell ref="F17:F29"/>
    <mergeCell ref="B4:B9"/>
    <mergeCell ref="C4:C9"/>
    <mergeCell ref="E4:E9"/>
    <mergeCell ref="F4:F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9894-CEA5-4F76-8E2A-1D9A4FD3D8AF}">
  <dimension ref="B2:D53"/>
  <sheetViews>
    <sheetView workbookViewId="0">
      <selection activeCell="H17" sqref="H17"/>
    </sheetView>
  </sheetViews>
  <sheetFormatPr defaultRowHeight="14.4" x14ac:dyDescent="0.3"/>
  <cols>
    <col min="2" max="2" width="72.5546875" customWidth="1"/>
    <col min="3" max="3" width="46.109375" customWidth="1"/>
    <col min="4" max="4" width="15.109375" customWidth="1"/>
  </cols>
  <sheetData>
    <row r="2" spans="2:4" x14ac:dyDescent="0.3">
      <c r="B2" t="s">
        <v>260</v>
      </c>
    </row>
    <row r="4" spans="2:4" ht="15" thickBot="1" x14ac:dyDescent="0.35">
      <c r="B4" t="s">
        <v>222</v>
      </c>
    </row>
    <row r="5" spans="2:4" ht="16.2" thickBot="1" x14ac:dyDescent="0.35">
      <c r="B5" s="57" t="s">
        <v>202</v>
      </c>
      <c r="C5" s="58" t="s">
        <v>203</v>
      </c>
      <c r="D5" s="58" t="s">
        <v>204</v>
      </c>
    </row>
    <row r="6" spans="2:4" ht="15.6" thickBot="1" x14ac:dyDescent="0.35">
      <c r="B6" s="18" t="s">
        <v>205</v>
      </c>
      <c r="C6" s="19"/>
      <c r="D6" s="19"/>
    </row>
    <row r="7" spans="2:4" ht="15.6" thickBot="1" x14ac:dyDescent="0.35">
      <c r="B7" s="18" t="s">
        <v>206</v>
      </c>
      <c r="C7" s="19"/>
      <c r="D7" s="19"/>
    </row>
    <row r="8" spans="2:4" ht="15.6" thickBot="1" x14ac:dyDescent="0.35">
      <c r="B8" s="18" t="s">
        <v>207</v>
      </c>
      <c r="C8" s="19"/>
      <c r="D8" s="19"/>
    </row>
    <row r="9" spans="2:4" ht="15.6" thickBot="1" x14ac:dyDescent="0.35">
      <c r="B9" s="18" t="s">
        <v>208</v>
      </c>
      <c r="C9" s="19"/>
      <c r="D9" s="19"/>
    </row>
    <row r="10" spans="2:4" ht="15.6" thickBot="1" x14ac:dyDescent="0.35">
      <c r="B10" s="18" t="s">
        <v>209</v>
      </c>
      <c r="C10" s="19"/>
      <c r="D10" s="19"/>
    </row>
    <row r="11" spans="2:4" ht="15.6" thickBot="1" x14ac:dyDescent="0.35">
      <c r="B11" s="18" t="s">
        <v>210</v>
      </c>
      <c r="C11" s="19"/>
      <c r="D11" s="19"/>
    </row>
    <row r="12" spans="2:4" ht="15.6" thickBot="1" x14ac:dyDescent="0.35">
      <c r="B12" s="18" t="s">
        <v>211</v>
      </c>
      <c r="C12" s="19"/>
      <c r="D12" s="19"/>
    </row>
    <row r="13" spans="2:4" ht="15.6" thickBot="1" x14ac:dyDescent="0.35">
      <c r="B13" s="18" t="s">
        <v>212</v>
      </c>
      <c r="C13" s="19"/>
      <c r="D13" s="19"/>
    </row>
    <row r="14" spans="2:4" ht="15.6" thickBot="1" x14ac:dyDescent="0.35">
      <c r="B14" s="18" t="s">
        <v>213</v>
      </c>
      <c r="C14" s="19"/>
      <c r="D14" s="19"/>
    </row>
    <row r="15" spans="2:4" ht="15.6" thickBot="1" x14ac:dyDescent="0.35">
      <c r="B15" s="18" t="s">
        <v>214</v>
      </c>
      <c r="C15" s="19"/>
      <c r="D15" s="19"/>
    </row>
    <row r="16" spans="2:4" ht="15.6" thickBot="1" x14ac:dyDescent="0.35">
      <c r="B16" s="18" t="s">
        <v>215</v>
      </c>
      <c r="C16" s="19"/>
      <c r="D16" s="19"/>
    </row>
    <row r="17" spans="2:4" ht="15.6" thickBot="1" x14ac:dyDescent="0.35">
      <c r="B17" s="18" t="s">
        <v>216</v>
      </c>
      <c r="C17" s="16" t="s">
        <v>217</v>
      </c>
      <c r="D17" s="16" t="s">
        <v>218</v>
      </c>
    </row>
    <row r="18" spans="2:4" ht="15.6" thickBot="1" x14ac:dyDescent="0.35">
      <c r="B18" s="59" t="s">
        <v>219</v>
      </c>
      <c r="C18" s="60"/>
      <c r="D18" s="61"/>
    </row>
    <row r="19" spans="2:4" ht="15.6" thickBot="1" x14ac:dyDescent="0.35">
      <c r="B19" s="59" t="s">
        <v>220</v>
      </c>
      <c r="C19" s="60"/>
      <c r="D19" s="61"/>
    </row>
    <row r="20" spans="2:4" ht="15.6" thickBot="1" x14ac:dyDescent="0.35">
      <c r="B20" s="59" t="s">
        <v>221</v>
      </c>
      <c r="C20" s="60"/>
      <c r="D20" s="61"/>
    </row>
    <row r="22" spans="2:4" ht="15" thickBot="1" x14ac:dyDescent="0.35">
      <c r="B22" t="s">
        <v>223</v>
      </c>
    </row>
    <row r="23" spans="2:4" ht="31.8" thickBot="1" x14ac:dyDescent="0.35">
      <c r="B23" s="12" t="s">
        <v>224</v>
      </c>
      <c r="C23" s="13" t="s">
        <v>225</v>
      </c>
      <c r="D23" s="13" t="s">
        <v>226</v>
      </c>
    </row>
    <row r="24" spans="2:4" ht="45" x14ac:dyDescent="0.3">
      <c r="B24" s="21" t="s">
        <v>227</v>
      </c>
      <c r="C24" s="17" t="s">
        <v>228</v>
      </c>
      <c r="D24" s="15"/>
    </row>
    <row r="25" spans="2:4" ht="15" x14ac:dyDescent="0.3">
      <c r="B25" s="20"/>
      <c r="C25" s="17" t="s">
        <v>229</v>
      </c>
      <c r="D25" s="15"/>
    </row>
    <row r="26" spans="2:4" ht="15" x14ac:dyDescent="0.3">
      <c r="B26" s="20"/>
      <c r="C26" s="62" t="s">
        <v>230</v>
      </c>
      <c r="D26" s="15"/>
    </row>
    <row r="27" spans="2:4" ht="15" x14ac:dyDescent="0.3">
      <c r="B27" s="20"/>
      <c r="C27" s="62" t="s">
        <v>231</v>
      </c>
      <c r="D27" s="15"/>
    </row>
    <row r="28" spans="2:4" ht="15" x14ac:dyDescent="0.3">
      <c r="B28" s="20"/>
      <c r="C28" s="62" t="s">
        <v>232</v>
      </c>
      <c r="D28" s="15"/>
    </row>
    <row r="29" spans="2:4" ht="15" x14ac:dyDescent="0.3">
      <c r="B29" s="20"/>
      <c r="C29" s="62" t="s">
        <v>233</v>
      </c>
      <c r="D29" s="15"/>
    </row>
    <row r="30" spans="2:4" ht="15" x14ac:dyDescent="0.3">
      <c r="B30" s="20"/>
      <c r="C30" s="62" t="s">
        <v>234</v>
      </c>
      <c r="D30" s="15">
        <v>50</v>
      </c>
    </row>
    <row r="31" spans="2:4" ht="15.6" thickBot="1" x14ac:dyDescent="0.35">
      <c r="B31" s="22"/>
      <c r="C31" s="25"/>
      <c r="D31" s="16"/>
    </row>
    <row r="32" spans="2:4" ht="15" x14ac:dyDescent="0.3">
      <c r="B32" s="21" t="s">
        <v>235</v>
      </c>
      <c r="C32" s="17" t="s">
        <v>236</v>
      </c>
      <c r="D32" s="26">
        <v>10</v>
      </c>
    </row>
    <row r="33" spans="2:4" ht="15" x14ac:dyDescent="0.3">
      <c r="B33" s="20"/>
      <c r="C33" s="17" t="s">
        <v>237</v>
      </c>
      <c r="D33" s="27"/>
    </row>
    <row r="34" spans="2:4" ht="15.6" thickBot="1" x14ac:dyDescent="0.35">
      <c r="B34" s="22"/>
      <c r="C34" s="19" t="s">
        <v>238</v>
      </c>
      <c r="D34" s="28"/>
    </row>
    <row r="35" spans="2:4" ht="30" x14ac:dyDescent="0.3">
      <c r="B35" s="21" t="s">
        <v>239</v>
      </c>
      <c r="C35" s="63" t="s">
        <v>240</v>
      </c>
      <c r="D35" s="15"/>
    </row>
    <row r="36" spans="2:4" ht="15" x14ac:dyDescent="0.3">
      <c r="B36" s="20"/>
      <c r="C36" s="64" t="s">
        <v>241</v>
      </c>
      <c r="D36" s="15"/>
    </row>
    <row r="37" spans="2:4" ht="15" x14ac:dyDescent="0.3">
      <c r="B37" s="20"/>
      <c r="C37" s="64" t="s">
        <v>242</v>
      </c>
      <c r="D37" s="15"/>
    </row>
    <row r="38" spans="2:4" ht="15" x14ac:dyDescent="0.3">
      <c r="B38" s="20"/>
      <c r="C38" s="64" t="s">
        <v>243</v>
      </c>
      <c r="D38" s="15">
        <v>25</v>
      </c>
    </row>
    <row r="39" spans="2:4" ht="15" x14ac:dyDescent="0.3">
      <c r="B39" s="20"/>
      <c r="C39" s="64" t="s">
        <v>244</v>
      </c>
      <c r="D39" s="24"/>
    </row>
    <row r="40" spans="2:4" ht="15.6" thickBot="1" x14ac:dyDescent="0.35">
      <c r="B40" s="22"/>
      <c r="C40" s="65" t="s">
        <v>245</v>
      </c>
      <c r="D40" s="25"/>
    </row>
    <row r="41" spans="2:4" ht="15" x14ac:dyDescent="0.3">
      <c r="B41" s="14"/>
      <c r="C41" s="17" t="s">
        <v>247</v>
      </c>
      <c r="D41" s="26">
        <v>15</v>
      </c>
    </row>
    <row r="42" spans="2:4" ht="30" x14ac:dyDescent="0.3">
      <c r="B42" s="14"/>
      <c r="C42" s="17" t="s">
        <v>248</v>
      </c>
      <c r="D42" s="27"/>
    </row>
    <row r="43" spans="2:4" ht="15" x14ac:dyDescent="0.3">
      <c r="B43" s="14"/>
      <c r="C43" s="64" t="s">
        <v>249</v>
      </c>
      <c r="D43" s="27"/>
    </row>
    <row r="44" spans="2:4" ht="15.6" thickBot="1" x14ac:dyDescent="0.35">
      <c r="B44" s="18" t="s">
        <v>246</v>
      </c>
      <c r="C44" s="19" t="s">
        <v>250</v>
      </c>
      <c r="D44" s="28"/>
    </row>
    <row r="45" spans="2:4" ht="15.6" thickBot="1" x14ac:dyDescent="0.35">
      <c r="B45" s="59" t="s">
        <v>184</v>
      </c>
      <c r="C45" s="61"/>
      <c r="D45" s="16">
        <v>100</v>
      </c>
    </row>
    <row r="46" spans="2:4" ht="15.6" customHeight="1" x14ac:dyDescent="0.3">
      <c r="B46" s="69" t="s">
        <v>251</v>
      </c>
      <c r="C46" s="70"/>
      <c r="D46" s="71"/>
    </row>
    <row r="47" spans="2:4" ht="31.2" customHeight="1" thickBot="1" x14ac:dyDescent="0.35">
      <c r="B47" s="72" t="s">
        <v>252</v>
      </c>
      <c r="C47" s="73"/>
      <c r="D47" s="74"/>
    </row>
    <row r="48" spans="2:4" ht="90" x14ac:dyDescent="0.3">
      <c r="B48" s="66" t="s">
        <v>253</v>
      </c>
      <c r="C48" s="17" t="s">
        <v>255</v>
      </c>
      <c r="D48" s="26">
        <v>50</v>
      </c>
    </row>
    <row r="49" spans="2:4" ht="15" x14ac:dyDescent="0.3">
      <c r="B49" s="14"/>
      <c r="C49" s="17" t="s">
        <v>256</v>
      </c>
      <c r="D49" s="27"/>
    </row>
    <row r="50" spans="2:4" ht="15" x14ac:dyDescent="0.3">
      <c r="B50" s="14" t="s">
        <v>254</v>
      </c>
      <c r="C50" s="17" t="s">
        <v>257</v>
      </c>
      <c r="D50" s="27"/>
    </row>
    <row r="51" spans="2:4" ht="15.6" thickBot="1" x14ac:dyDescent="0.35">
      <c r="B51" s="67"/>
      <c r="C51" s="19" t="s">
        <v>258</v>
      </c>
      <c r="D51" s="28"/>
    </row>
    <row r="52" spans="2:4" ht="15.6" x14ac:dyDescent="0.3">
      <c r="B52" s="66" t="s">
        <v>184</v>
      </c>
      <c r="C52" s="75"/>
      <c r="D52" s="75">
        <v>150</v>
      </c>
    </row>
    <row r="53" spans="2:4" ht="16.2" thickBot="1" x14ac:dyDescent="0.35">
      <c r="B53" s="68" t="s">
        <v>259</v>
      </c>
      <c r="C53" s="76"/>
      <c r="D53" s="76"/>
    </row>
  </sheetData>
  <mergeCells count="14">
    <mergeCell ref="C52:C53"/>
    <mergeCell ref="D52:D53"/>
    <mergeCell ref="B35:B40"/>
    <mergeCell ref="D41:D44"/>
    <mergeCell ref="B45:C45"/>
    <mergeCell ref="B46:D46"/>
    <mergeCell ref="B47:D47"/>
    <mergeCell ref="D48:D51"/>
    <mergeCell ref="B18:D18"/>
    <mergeCell ref="B19:D19"/>
    <mergeCell ref="B20:D20"/>
    <mergeCell ref="B24:B31"/>
    <mergeCell ref="B32:B34"/>
    <mergeCell ref="D32:D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Tariff Rates</vt:lpstr>
      <vt:lpstr>Facilities Rentals</vt:lpstr>
      <vt:lpstr>Pre-Qual Docs</vt:lpstr>
      <vt:lpstr>Pre-Qual Evaluation</vt:lpstr>
      <vt:lpstr>Checklists</vt:lpstr>
      <vt:lpstr>'Pre-Qual Evaluation'!_Hlk93511350</vt:lpstr>
      <vt:lpstr>'Pre-Qual Evaluation'!_Hlk93512026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Ayanda Giyose</dc:creator>
  <cp:lastModifiedBy>Ayanda Giyose</cp:lastModifiedBy>
  <dcterms:created xsi:type="dcterms:W3CDTF">2026-06-20T12:11:43Z</dcterms:created>
  <dcterms:modified xsi:type="dcterms:W3CDTF">2026-06-23T14:57:31Z</dcterms:modified>
</cp:coreProperties>
</file>